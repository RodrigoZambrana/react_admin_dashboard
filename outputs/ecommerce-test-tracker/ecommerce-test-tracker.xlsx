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Pruebas" sheetId="2" state="visible" r:id="rId2"/>
    <sheet xmlns:r="http://schemas.openxmlformats.org/officeDocument/2006/relationships" name="Leyenda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rlito"/>
      <sz val="11"/>
    </font>
    <font>
      <name val="Carlito"/>
      <b val="1"/>
      <sz val="11"/>
    </font>
    <font>
      <name val="Carlito"/>
      <b val="1"/>
      <color rgb="00FFFFFF"/>
      <sz val="11"/>
    </font>
    <font>
      <name val="Carlito"/>
      <b val="1"/>
      <sz val="18"/>
    </font>
    <font>
      <name val="Carlito"/>
      <color rgb="004B5563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DBEAFE"/>
      </patternFill>
    </fill>
  </fills>
  <borders count="5">
    <border/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1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wrapText="1"/>
    </xf>
    <xf numFmtId="1" fontId="0" fillId="3" borderId="1" applyAlignment="1" pivotButton="0" quotePrefix="0" xfId="0">
      <alignment wrapText="1"/>
    </xf>
    <xf numFmtId="164" fontId="0" fillId="3" borderId="1" applyAlignment="1" pivotButton="0" quotePrefix="0" xfId="0">
      <alignment wrapText="1"/>
    </xf>
    <xf numFmtId="0" fontId="1" fillId="4" borderId="0" pivotButton="0" quotePrefix="0" xfId="0"/>
    <xf numFmtId="0" fontId="1" fillId="4" borderId="1" pivotButton="0" quotePrefix="0" xfId="0"/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" fontId="0" fillId="3" borderId="1" applyAlignment="1" pivotButton="0" quotePrefix="0" xfId="0">
      <alignment wrapText="1"/>
    </xf>
    <xf numFmtId="164" fontId="0" fillId="3" borderId="1" applyAlignment="1" pivotButton="0" quotePrefix="0" xfId="0">
      <alignment wrapText="1"/>
    </xf>
    <xf numFmtId="0" fontId="0" fillId="0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87.73000335693359" customWidth="1" min="1" max="1"/>
    <col width="87.73000335693359" customWidth="1" min="2" max="2"/>
    <col width="26.3799991607666" customWidth="1" min="4" max="4"/>
    <col width="16.55999946594238" customWidth="1" min="5" max="5"/>
  </cols>
  <sheetData>
    <row r="1">
      <c r="A1" s="27" t="inlineStr">
        <is>
          <t>Tracker de pruebas ecommerce</t>
        </is>
      </c>
    </row>
    <row r="2">
      <c r="A2" s="29" t="inlineStr">
        <is>
          <t>Estado operativo para registrar cada caso como OK, requiere ajuste o bloqueado.</t>
        </is>
      </c>
    </row>
    <row r="5">
      <c r="A5" s="17" t="inlineStr">
        <is>
          <t>Total de casos</t>
        </is>
      </c>
      <c r="B5" s="30">
        <f>COUNTA(Pruebas!B2:B116)</f>
        <v/>
      </c>
      <c r="D5" s="17" t="inlineStr">
        <is>
          <t>Seccion</t>
        </is>
      </c>
      <c r="E5" s="17" t="inlineStr">
        <is>
          <t>Casos</t>
        </is>
      </c>
    </row>
    <row r="6">
      <c r="A6" s="17" t="inlineStr">
        <is>
          <t>OK</t>
        </is>
      </c>
      <c r="B6" s="30">
        <f>COUNTIF(Pruebas!J2:J116,"OK")</f>
        <v/>
      </c>
      <c r="D6" s="18" t="inlineStr">
        <is>
          <t>Ecommerce</t>
        </is>
      </c>
      <c r="E6" s="30">
        <f>COUNTIF(Pruebas!A2:A116,D6)</f>
        <v/>
      </c>
    </row>
    <row r="7">
      <c r="A7" s="17" t="inlineStr">
        <is>
          <t>Requiere ajuste</t>
        </is>
      </c>
      <c r="B7" s="30">
        <f>COUNTIF(Pruebas!J2:J116,"Requiere ajuste")</f>
        <v/>
      </c>
      <c r="D7" s="18" t="inlineStr">
        <is>
          <t>Admin</t>
        </is>
      </c>
      <c r="E7" s="30">
        <f>COUNTIF(Pruebas!A2:A116,D7)</f>
        <v/>
      </c>
    </row>
    <row r="8">
      <c r="A8" s="17" t="inlineStr">
        <is>
          <t>Bloqueado</t>
        </is>
      </c>
      <c r="B8" s="30">
        <f>COUNTIF(Pruebas!J2:J116,"Bloqueado")</f>
        <v/>
      </c>
      <c r="D8" s="18" t="inlineStr">
        <is>
          <t>Cross-project</t>
        </is>
      </c>
      <c r="E8" s="30">
        <f>COUNTIF(Pruebas!A2:A116,D8)</f>
        <v/>
      </c>
    </row>
    <row r="9">
      <c r="A9" s="17" t="inlineStr">
        <is>
          <t>Pendientes</t>
        </is>
      </c>
      <c r="B9" s="30">
        <f>COUNTIF(Pruebas!J2:J116,"")</f>
        <v/>
      </c>
    </row>
    <row r="10">
      <c r="A10" s="17" t="inlineStr">
        <is>
          <t>Cobertura completa</t>
        </is>
      </c>
      <c r="B10" s="31">
        <f>IF(B5=0,"",B6/B5)</f>
        <v/>
      </c>
    </row>
    <row r="12" ht="21" customHeight="1">
      <c r="A12" s="26" t="inlineStr">
        <is>
          <t>Criterio de reporte</t>
        </is>
      </c>
      <c r="B12" s="32" t="n"/>
    </row>
    <row r="13" ht="36" customHeight="1">
      <c r="A13" s="16" t="inlineStr">
        <is>
          <t>Completa la columna Estado con: OK, Requiere ajuste, Bloqueado o Pendiente. Usa Observaciones y Evidencia para dejar trazabilidad operativa.</t>
        </is>
      </c>
      <c r="B13" s="32" t="n"/>
    </row>
  </sheetData>
  <mergeCells count="4">
    <mergeCell ref="A13:B13"/>
    <mergeCell ref="A2:B2"/>
    <mergeCell ref="A1:B1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6"/>
  <sheetViews>
    <sheetView showGridLines="0" workbookViewId="0">
      <selection activeCell="A1" sqref="A1"/>
    </sheetView>
  </sheetViews>
  <sheetFormatPr baseColWidth="8" defaultRowHeight="15"/>
  <cols>
    <col width="16.55999946594238" customWidth="1" min="1" max="1"/>
    <col width="15.34000015258789" customWidth="1" min="2" max="2"/>
    <col width="15.34000015258789" customWidth="1" min="3" max="3"/>
    <col width="17.79000091552734" customWidth="1" min="4" max="4"/>
    <col width="43.56000137329102" customWidth="1" min="5" max="5"/>
    <col width="14.10999965667725" customWidth="1" min="6" max="6"/>
    <col width="31.29000091552734" customWidth="1" min="7" max="7"/>
    <col width="26.3799991607666" customWidth="1" min="8" max="8"/>
    <col width="26.3799991607666" customWidth="1" min="9" max="9"/>
    <col width="16.55999946594238" customWidth="1" min="10" max="10"/>
    <col width="21.46999931335449" customWidth="1" min="11" max="11"/>
    <col width="26.3799991607666" customWidth="1" min="12" max="12"/>
    <col width="26.3799991607666" customWidth="1" min="13" max="13"/>
    <col width="14.10999965667725" customWidth="1" min="14" max="14"/>
    <col width="19.02000045776367" customWidth="1" min="15" max="15"/>
  </cols>
  <sheetData>
    <row r="1" ht="26.39999961853027" customHeight="1">
      <c r="A1" s="6" t="inlineStr">
        <is>
          <t>Seccion</t>
        </is>
      </c>
      <c r="B1" s="6" t="inlineStr">
        <is>
          <t>ID</t>
        </is>
      </c>
      <c r="C1" s="6" t="inlineStr">
        <is>
          <t>Area</t>
        </is>
      </c>
      <c r="D1" s="6" t="inlineStr">
        <is>
          <t>Bloque</t>
        </is>
      </c>
      <c r="E1" s="6" t="inlineStr">
        <is>
          <t>Caso</t>
        </is>
      </c>
      <c r="F1" s="6" t="inlineStr">
        <is>
          <t>Cobertura</t>
        </is>
      </c>
      <c r="G1" s="6" t="inlineStr">
        <is>
          <t>Precondiciones</t>
        </is>
      </c>
      <c r="H1" s="6" t="inlineStr">
        <is>
          <t>Accion / disparador</t>
        </is>
      </c>
      <c r="I1" s="6" t="inlineStr">
        <is>
          <t>Resultado esperado</t>
        </is>
      </c>
      <c r="J1" s="6" t="inlineStr">
        <is>
          <t>Estado</t>
        </is>
      </c>
      <c r="K1" s="6" t="inlineStr">
        <is>
          <t>Resultado real</t>
        </is>
      </c>
      <c r="L1" s="6" t="inlineStr">
        <is>
          <t>Observaciones</t>
        </is>
      </c>
      <c r="M1" s="6" t="inlineStr">
        <is>
          <t>Evidencia</t>
        </is>
      </c>
      <c r="N1" s="6" t="inlineStr">
        <is>
          <t>Ultima validacion</t>
        </is>
      </c>
      <c r="O1" s="6" t="inlineStr">
        <is>
          <t>Siguiente accion</t>
        </is>
      </c>
    </row>
    <row r="2" ht="52.79999923706055" customHeight="1">
      <c r="A2" s="8" t="inlineStr">
        <is>
          <t>Ecommerce</t>
        </is>
      </c>
      <c r="B2" s="8" t="inlineStr">
        <is>
          <t>ECOM-HOME-001</t>
        </is>
      </c>
      <c r="C2" s="8" t="inlineStr">
        <is>
          <t>E2E/UI</t>
        </is>
      </c>
      <c r="D2" s="8" t="inlineStr">
        <is>
          <t>Home/SEO</t>
        </is>
      </c>
      <c r="E2" s="8" t="inlineStr">
        <is>
          <t>Cargar home con historias y contenido editorial real</t>
        </is>
      </c>
      <c r="F2" s="8" t="inlineStr">
        <is>
          <t>E2E/UI</t>
        </is>
      </c>
      <c r="G2" s="8" t="inlineStr">
        <is>
          <t>Backend storefront activo y contenido base del sitio publicado</t>
        </is>
      </c>
      <c r="H2" s="8" t="inlineStr">
        <is>
          <t>Abrir / en storefront</t>
        </is>
      </c>
      <c r="I2" s="8" t="inlineStr">
        <is>
          <t>El home muestra historias, bloques editoriales y contenido comercial vigente sin templates demo</t>
        </is>
      </c>
      <c r="J2" s="10" t="str"/>
      <c r="K2" s="8" t="str"/>
      <c r="L2" s="8" t="str"/>
      <c r="M2" s="8" t="inlineStr">
        <is>
          <t>ecommerce/e2e/home-stories.spec.ts</t>
        </is>
      </c>
      <c r="N2" s="8" t="inlineStr">
        <is>
          <t>2026-04-27</t>
        </is>
      </c>
      <c r="O2" s="8" t="inlineStr">
        <is>
          <t>Mantener</t>
        </is>
      </c>
    </row>
    <row r="3" ht="52.79999923706055" customHeight="1">
      <c r="A3" s="8" t="inlineStr">
        <is>
          <t>Ecommerce</t>
        </is>
      </c>
      <c r="B3" s="8" t="inlineStr">
        <is>
          <t>ECOM-HOME-002</t>
        </is>
      </c>
      <c r="C3" s="8" t="inlineStr">
        <is>
          <t>UI/E2E</t>
        </is>
      </c>
      <c r="D3" s="8" t="inlineStr">
        <is>
          <t>SEO</t>
        </is>
      </c>
      <c r="E3" s="8" t="inlineStr">
        <is>
          <t>Exponer metadata real por ruta pública</t>
        </is>
      </c>
      <c r="F3" s="8" t="inlineStr">
        <is>
          <t>UI/E2E</t>
        </is>
      </c>
      <c r="G3" s="8" t="inlineStr">
        <is>
          <t>Sitio levantado con contenido publicado</t>
        </is>
      </c>
      <c r="H3" s="8" t="inlineStr">
        <is>
          <t>Navegar a home, tienda, producto y blog</t>
        </is>
      </c>
      <c r="I3" s="8" t="inlineStr">
        <is>
          <t>Cada página relevante expone título, descripción y distribución de contenido consistente con SEO base</t>
        </is>
      </c>
      <c r="J3" s="10" t="str"/>
      <c r="K3" s="8" t="str"/>
      <c r="L3" s="8" t="str"/>
      <c r="M3" s="8" t="inlineStr">
        <is>
          <t>ecommerce/e2e/seo-metadata.spec.ts; ecommerce/src/lib/page-metadata.spec.ts</t>
        </is>
      </c>
      <c r="N3" s="8" t="inlineStr">
        <is>
          <t>2026-04-27</t>
        </is>
      </c>
      <c r="O3" s="8" t="inlineStr">
        <is>
          <t>Mantener</t>
        </is>
      </c>
    </row>
    <row r="4" ht="52.79999923706055" customHeight="1">
      <c r="A4" s="8" t="inlineStr">
        <is>
          <t>Ecommerce</t>
        </is>
      </c>
      <c r="B4" s="8" t="inlineStr">
        <is>
          <t>ECOM-CATALOG-001</t>
        </is>
      </c>
      <c r="C4" s="8" t="inlineStr">
        <is>
          <t>E2E/API</t>
        </is>
      </c>
      <c r="D4" s="8" t="inlineStr">
        <is>
          <t>Catálogo</t>
        </is>
      </c>
      <c r="E4" s="8" t="inlineStr">
        <is>
          <t>Listar productos publicados en tienda</t>
        </is>
      </c>
      <c r="F4" s="8" t="inlineStr">
        <is>
          <t>E2E/API</t>
        </is>
      </c>
      <c r="G4" s="8" t="inlineStr">
        <is>
          <t>Catálogo cargado desde base o snapshot activo</t>
        </is>
      </c>
      <c r="H4" s="8" t="inlineStr">
        <is>
          <t>Abrir /products o /shop</t>
        </is>
      </c>
      <c r="I4" s="8" t="inlineStr">
        <is>
          <t>Se ven productos reales, categorías y ordenamiento base</t>
        </is>
      </c>
      <c r="J4" s="10" t="str"/>
      <c r="K4" s="8" t="str"/>
      <c r="L4" s="8" t="str"/>
      <c r="M4" s="8" t="inlineStr">
        <is>
          <t>ecommerce/e2e/ecommerce-readiness.spec.ts; ecommerce/e2e/commerce-critical.spec.ts</t>
        </is>
      </c>
      <c r="N4" s="8" t="inlineStr">
        <is>
          <t>2026-04-27</t>
        </is>
      </c>
      <c r="O4" s="8" t="inlineStr">
        <is>
          <t>Mantener</t>
        </is>
      </c>
    </row>
    <row r="5" ht="52.79999923706055" customHeight="1">
      <c r="A5" s="8" t="inlineStr">
        <is>
          <t>Ecommerce</t>
        </is>
      </c>
      <c r="B5" s="8" t="inlineStr">
        <is>
          <t>ECOM-CATALOG-002</t>
        </is>
      </c>
      <c r="C5" s="8" t="inlineStr">
        <is>
          <t>UI/E2E</t>
        </is>
      </c>
      <c r="D5" s="8" t="inlineStr">
        <is>
          <t>Catálogo</t>
        </is>
      </c>
      <c r="E5" s="8" t="inlineStr">
        <is>
          <t>Navegar categorías reales desde home</t>
        </is>
      </c>
      <c r="F5" s="8" t="inlineStr">
        <is>
          <t>UI/E2E</t>
        </is>
      </c>
      <c r="G5" s="8" t="inlineStr">
        <is>
          <t>Categorías publicadas en storefront</t>
        </is>
      </c>
      <c r="H5" s="8" t="inlineStr">
        <is>
          <t>Abrir navegación de categorías y seleccionar una categoría</t>
        </is>
      </c>
      <c r="I5" s="8" t="inlineStr">
        <is>
          <t>La navegación filtra productos y mantiene el contexto de categoría</t>
        </is>
      </c>
      <c r="J5" s="10" t="str"/>
      <c r="K5" s="8" t="str"/>
      <c r="L5" s="8" t="str"/>
      <c r="M5" s="8" t="inlineStr">
        <is>
          <t>ecommerce/e2e/ecommerce-readiness.spec.ts; ecommerce/e2e/commerce-critical.spec.ts</t>
        </is>
      </c>
      <c r="N5" s="8" t="inlineStr">
        <is>
          <t>2026-04-27</t>
        </is>
      </c>
      <c r="O5" s="8" t="inlineStr">
        <is>
          <t>Mantener</t>
        </is>
      </c>
    </row>
    <row r="6" ht="52.79999923706055" customHeight="1">
      <c r="A6" s="8" t="inlineStr">
        <is>
          <t>Ecommerce</t>
        </is>
      </c>
      <c r="B6" s="8" t="inlineStr">
        <is>
          <t>ECOM-PROD-001</t>
        </is>
      </c>
      <c r="C6" s="8" t="inlineStr">
        <is>
          <t>E2E</t>
        </is>
      </c>
      <c r="D6" s="8" t="inlineStr">
        <is>
          <t>Producto</t>
        </is>
      </c>
      <c r="E6" s="8" t="inlineStr">
        <is>
          <t>Abrir detalle de producto simple</t>
        </is>
      </c>
      <c r="F6" s="8" t="inlineStr">
        <is>
          <t>E2E</t>
        </is>
      </c>
      <c r="G6" s="8" t="inlineStr">
        <is>
          <t>Producto simple publicado</t>
        </is>
      </c>
      <c r="H6" s="8" t="inlineStr">
        <is>
          <t>Abrir /product/:slug</t>
        </is>
      </c>
      <c r="I6" s="8" t="inlineStr">
        <is>
          <t>Se muestra nombre, precio, imágenes y CTA de compra</t>
        </is>
      </c>
      <c r="J6" s="10" t="str"/>
      <c r="K6" s="8" t="str"/>
      <c r="L6" s="8" t="str"/>
      <c r="M6" s="8" t="inlineStr">
        <is>
          <t>ecommerce/e2e/ecommerce-readiness.spec.ts; ecommerce/e2e/commerce-critical.spec.ts</t>
        </is>
      </c>
      <c r="N6" s="8" t="inlineStr">
        <is>
          <t>2026-04-27</t>
        </is>
      </c>
      <c r="O6" s="8" t="inlineStr">
        <is>
          <t>Mantener</t>
        </is>
      </c>
    </row>
    <row r="7" ht="39.59999847412109" customHeight="1">
      <c r="A7" s="8" t="inlineStr">
        <is>
          <t>Ecommerce</t>
        </is>
      </c>
      <c r="B7" s="8" t="inlineStr">
        <is>
          <t>ECOM-PROD-002</t>
        </is>
      </c>
      <c r="C7" s="8" t="inlineStr">
        <is>
          <t>E2E</t>
        </is>
      </c>
      <c r="D7" s="8" t="inlineStr">
        <is>
          <t>Producto</t>
        </is>
      </c>
      <c r="E7" s="8" t="inlineStr">
        <is>
          <t>Abrir detalle de producto variable y elegir variante</t>
        </is>
      </c>
      <c r="F7" s="8" t="inlineStr">
        <is>
          <t>E2E</t>
        </is>
      </c>
      <c r="G7" s="8" t="inlineStr">
        <is>
          <t>Producto variable publicado con variantes</t>
        </is>
      </c>
      <c r="H7" s="8" t="inlineStr">
        <is>
          <t>Abrir detalle y cambiar atributos</t>
        </is>
      </c>
      <c r="I7" s="8" t="inlineStr">
        <is>
          <t>La variante elegida recalcula precio, stock y media correctamente</t>
        </is>
      </c>
      <c r="J7" s="10" t="str"/>
      <c r="K7" s="8" t="str"/>
      <c r="L7" s="8" t="str"/>
      <c r="M7" s="8" t="inlineStr">
        <is>
          <t>ecommerce/e2e/commerce-critical.spec.ts; storefront manual /product/qa-var-003</t>
        </is>
      </c>
      <c r="N7" s="8" t="str"/>
      <c r="O7" s="8" t="inlineStr">
        <is>
          <t>2026-04-27</t>
        </is>
      </c>
    </row>
    <row r="8" ht="52.79999923706055" customHeight="1">
      <c r="A8" s="8" t="inlineStr">
        <is>
          <t>Ecommerce</t>
        </is>
      </c>
      <c r="B8" s="8" t="inlineStr">
        <is>
          <t>ECOM-PROD-003</t>
        </is>
      </c>
      <c r="C8" s="8" t="inlineStr">
        <is>
          <t>E2E</t>
        </is>
      </c>
      <c r="D8" s="8" t="inlineStr">
        <is>
          <t>Producto paramétrico</t>
        </is>
      </c>
      <c r="E8" s="8" t="inlineStr">
        <is>
          <t>Abrir producto paramétrico con matriz de aberturas</t>
        </is>
      </c>
      <c r="F8" s="8" t="inlineStr">
        <is>
          <t>E2E</t>
        </is>
      </c>
      <c r="G8" s="8" t="inlineStr">
        <is>
          <t>Matriz paramétrica disponible</t>
        </is>
      </c>
      <c r="H8" s="8" t="inlineStr">
        <is>
          <t>Abrir producto paramétrico y validar configuración</t>
        </is>
      </c>
      <c r="I8" s="8" t="inlineStr">
        <is>
          <t>El producto muestra configurador y evita agregar configuraciones incompletas</t>
        </is>
      </c>
      <c r="J8" s="10" t="str"/>
      <c r="K8" s="8" t="str"/>
      <c r="L8" s="8" t="str"/>
      <c r="M8" s="8" t="inlineStr">
        <is>
          <t>backend/src/storefront/storefront.service.ts; ecommerce/e2e/commerce-critical.spec.ts</t>
        </is>
      </c>
      <c r="N8" s="8" t="inlineStr">
        <is>
          <t>2026-04-27</t>
        </is>
      </c>
      <c r="O8" s="8" t="inlineStr">
        <is>
          <t>Mantener</t>
        </is>
      </c>
    </row>
    <row r="9" ht="26.39999961853027" customHeight="1">
      <c r="A9" s="8" t="inlineStr">
        <is>
          <t>Ecommerce</t>
        </is>
      </c>
      <c r="B9" s="8" t="inlineStr">
        <is>
          <t>ECOM-CART-001</t>
        </is>
      </c>
      <c r="C9" s="8" t="inlineStr">
        <is>
          <t>E2E</t>
        </is>
      </c>
      <c r="D9" s="8" t="inlineStr">
        <is>
          <t>Carrito</t>
        </is>
      </c>
      <c r="E9" s="8" t="inlineStr">
        <is>
          <t>Agregar producto simple al carrito</t>
        </is>
      </c>
      <c r="F9" s="8" t="inlineStr">
        <is>
          <t>E2E</t>
        </is>
      </c>
      <c r="G9" s="8" t="inlineStr">
        <is>
          <t>Producto simple visible</t>
        </is>
      </c>
      <c r="H9" s="8" t="inlineStr">
        <is>
          <t>Click en agregar al carrito desde detalle</t>
        </is>
      </c>
      <c r="I9" s="8" t="inlineStr">
        <is>
          <t>El ítem queda en carrito y el contador se actualiza</t>
        </is>
      </c>
      <c r="J9" s="10" t="str"/>
      <c r="K9" s="8" t="str"/>
      <c r="L9" s="8" t="str"/>
      <c r="M9" s="8" t="inlineStr">
        <is>
          <t>ecommerce/e2e/commerce-critical.spec.ts</t>
        </is>
      </c>
      <c r="N9" s="8" t="inlineStr">
        <is>
          <t>2026-04-27</t>
        </is>
      </c>
      <c r="O9" s="8" t="inlineStr">
        <is>
          <t>Mantener</t>
        </is>
      </c>
    </row>
    <row r="10" ht="39.59999847412109" customHeight="1">
      <c r="A10" s="8" t="inlineStr">
        <is>
          <t>Ecommerce</t>
        </is>
      </c>
      <c r="B10" s="8" t="inlineStr">
        <is>
          <t>ECOM-CART-002</t>
        </is>
      </c>
      <c r="C10" s="8" t="inlineStr">
        <is>
          <t>E2E</t>
        </is>
      </c>
      <c r="D10" s="8" t="inlineStr">
        <is>
          <t>Carrito</t>
        </is>
      </c>
      <c r="E10" s="8" t="inlineStr">
        <is>
          <t>Agregar producto paramétrico sólo tras configurarlo</t>
        </is>
      </c>
      <c r="F10" s="8" t="inlineStr">
        <is>
          <t>E2E</t>
        </is>
      </c>
      <c r="G10" s="8" t="inlineStr">
        <is>
          <t>Producto paramétrico con configurador disponible</t>
        </is>
      </c>
      <c r="H10" s="8" t="inlineStr">
        <is>
          <t>Seleccionar matriz y completar parámetros</t>
        </is>
      </c>
      <c r="I10" s="8" t="inlineStr">
        <is>
          <t>El sistema no permite entrar un producto paramétrico sin configuración válida</t>
        </is>
      </c>
      <c r="J10" s="10" t="str"/>
      <c r="K10" s="8" t="str"/>
      <c r="L10" s="8" t="str"/>
      <c r="M10" s="8" t="inlineStr">
        <is>
          <t>ecommerce/e2e/commerce-critical.spec.ts</t>
        </is>
      </c>
      <c r="N10" s="8" t="str"/>
      <c r="O10" s="8" t="inlineStr">
        <is>
          <t>2026-04-27</t>
        </is>
      </c>
    </row>
    <row r="11" ht="26.39999961853027" customHeight="1">
      <c r="A11" s="8" t="inlineStr">
        <is>
          <t>Ecommerce</t>
        </is>
      </c>
      <c r="B11" s="8" t="inlineStr">
        <is>
          <t>ECOM-CART-003</t>
        </is>
      </c>
      <c r="C11" s="8" t="inlineStr">
        <is>
          <t>E2E</t>
        </is>
      </c>
      <c r="D11" s="8" t="inlineStr">
        <is>
          <t>Carrito</t>
        </is>
      </c>
      <c r="E11" s="8" t="inlineStr">
        <is>
          <t>Modificar cantidades y remover items</t>
        </is>
      </c>
      <c r="F11" s="8" t="inlineStr">
        <is>
          <t>E2E</t>
        </is>
      </c>
      <c r="G11" s="8" t="inlineStr">
        <is>
          <t>Carrito con al menos dos líneas</t>
        </is>
      </c>
      <c r="H11" s="8" t="inlineStr">
        <is>
          <t>Cambiar cantidad y borrar una línea</t>
        </is>
      </c>
      <c r="I11" s="8" t="inlineStr">
        <is>
          <t>Totales y líneas reflejan el cambio sin recarga manual</t>
        </is>
      </c>
      <c r="J11" s="10" t="str"/>
      <c r="K11" s="8" t="str"/>
      <c r="L11" s="8" t="str"/>
      <c r="M11" s="8" t="inlineStr">
        <is>
          <t>ecommerce/e2e/commerce-critical.spec.ts</t>
        </is>
      </c>
      <c r="N11" s="8" t="inlineStr">
        <is>
          <t>2026-04-27</t>
        </is>
      </c>
      <c r="O11" s="8" t="inlineStr">
        <is>
          <t>Mantener</t>
        </is>
      </c>
    </row>
    <row r="12" ht="26.39999961853027" customHeight="1">
      <c r="A12" s="8" t="inlineStr">
        <is>
          <t>Ecommerce</t>
        </is>
      </c>
      <c r="B12" s="8" t="inlineStr">
        <is>
          <t>ECOM-CHK-001</t>
        </is>
      </c>
      <c r="C12" s="8" t="inlineStr">
        <is>
          <t>E2E</t>
        </is>
      </c>
      <c r="D12" s="8" t="inlineStr">
        <is>
          <t>Checkout</t>
        </is>
      </c>
      <c r="E12" s="8" t="inlineStr">
        <is>
          <t>Completar checkout como invitado</t>
        </is>
      </c>
      <c r="F12" s="8" t="inlineStr">
        <is>
          <t>E2E</t>
        </is>
      </c>
      <c r="G12" s="8" t="inlineStr">
        <is>
          <t>Carrito con productos y shipping activo</t>
        </is>
      </c>
      <c r="H12" s="8" t="inlineStr">
        <is>
          <t>Ir a checkout sin sesión</t>
        </is>
      </c>
      <c r="I12" s="8" t="inlineStr">
        <is>
          <t>El checkout avanza, calcula envío y genera el pedido</t>
        </is>
      </c>
      <c r="J12" s="10" t="str"/>
      <c r="K12" s="8" t="str"/>
      <c r="L12" s="8" t="str"/>
      <c r="M12" s="8" t="inlineStr">
        <is>
          <t>ecommerce/e2e/commerce-critical.spec.ts</t>
        </is>
      </c>
      <c r="N12" s="8" t="inlineStr">
        <is>
          <t>2026-04-27</t>
        </is>
      </c>
      <c r="O12" s="8" t="inlineStr">
        <is>
          <t>Mantener</t>
        </is>
      </c>
    </row>
    <row r="13" ht="26.39999961853027" customHeight="1">
      <c r="A13" s="8" t="inlineStr">
        <is>
          <t>Ecommerce</t>
        </is>
      </c>
      <c r="B13" s="8" t="inlineStr">
        <is>
          <t>ECOM-CHK-002</t>
        </is>
      </c>
      <c r="C13" s="8" t="inlineStr">
        <is>
          <t>E2E</t>
        </is>
      </c>
      <c r="D13" s="8" t="inlineStr">
        <is>
          <t>Checkout</t>
        </is>
      </c>
      <c r="E13" s="8" t="inlineStr">
        <is>
          <t>Pre-cargar datos del cliente al pagar autenticado</t>
        </is>
      </c>
      <c r="F13" s="8" t="inlineStr">
        <is>
          <t>E2E</t>
        </is>
      </c>
      <c r="G13" s="8" t="inlineStr">
        <is>
          <t>Usuario autenticado con perfil cargado</t>
        </is>
      </c>
      <c r="H13" s="8" t="inlineStr">
        <is>
          <t>Ir al carrito y abrir checkout</t>
        </is>
      </c>
      <c r="I13" s="8" t="inlineStr">
        <is>
          <t>Nombre, correo y dirección se precargan sin refresh manual</t>
        </is>
      </c>
      <c r="J13" s="10" t="str"/>
      <c r="K13" s="8" t="str"/>
      <c r="L13" s="8" t="str"/>
      <c r="M13" s="8" t="inlineStr">
        <is>
          <t>ecommerce/e2e/logged-in-checkout-address-currency.spec.ts</t>
        </is>
      </c>
      <c r="N13" s="8" t="inlineStr">
        <is>
          <t>2026-04-27</t>
        </is>
      </c>
      <c r="O13" s="8" t="inlineStr">
        <is>
          <t>Mantener</t>
        </is>
      </c>
    </row>
    <row r="14" ht="26.39999961853027" customHeight="1">
      <c r="A14" s="8" t="inlineStr">
        <is>
          <t>Ecommerce</t>
        </is>
      </c>
      <c r="B14" s="8" t="inlineStr">
        <is>
          <t>ECOM-CHK-003</t>
        </is>
      </c>
      <c r="C14" s="8" t="inlineStr">
        <is>
          <t>E2E</t>
        </is>
      </c>
      <c r="D14" s="8" t="inlineStr">
        <is>
          <t>Checkout</t>
        </is>
      </c>
      <c r="E14" s="8" t="inlineStr">
        <is>
          <t>Conservar dirección guardada para el checkout</t>
        </is>
      </c>
      <c r="F14" s="8" t="inlineStr">
        <is>
          <t>E2E</t>
        </is>
      </c>
      <c r="G14" s="8" t="inlineStr">
        <is>
          <t>Usuario con dirección primaria</t>
        </is>
      </c>
      <c r="H14" s="8" t="inlineStr">
        <is>
          <t>Abrir checkout luego de iniciar sesión</t>
        </is>
      </c>
      <c r="I14" s="8" t="inlineStr">
        <is>
          <t>La dirección guardada se toma como base y puede editarse</t>
        </is>
      </c>
      <c r="J14" s="10" t="str"/>
      <c r="K14" s="8" t="str"/>
      <c r="L14" s="8" t="str"/>
      <c r="M14" s="8" t="inlineStr">
        <is>
          <t>ecommerce/e2e/logged-in-checkout-address-currency.spec.ts</t>
        </is>
      </c>
      <c r="N14" s="8" t="inlineStr">
        <is>
          <t>2026-04-27</t>
        </is>
      </c>
      <c r="O14" s="8" t="inlineStr">
        <is>
          <t>Mantener</t>
        </is>
      </c>
    </row>
    <row r="15" ht="26.39999961853027" customHeight="1">
      <c r="A15" s="8" t="inlineStr">
        <is>
          <t>Ecommerce</t>
        </is>
      </c>
      <c r="B15" s="8" t="inlineStr">
        <is>
          <t>ECOM-CHK-004</t>
        </is>
      </c>
      <c r="C15" s="8" t="inlineStr">
        <is>
          <t>UI</t>
        </is>
      </c>
      <c r="D15" s="8" t="inlineStr">
        <is>
          <t>Checkout</t>
        </is>
      </c>
      <c r="E15" s="8" t="inlineStr">
        <is>
          <t>Rechazar checkout con nombre vacío</t>
        </is>
      </c>
      <c r="F15" s="8" t="inlineStr">
        <is>
          <t>UI</t>
        </is>
      </c>
      <c r="G15" s="8" t="inlineStr">
        <is>
          <t>Carrito con productos y sesión válida</t>
        </is>
      </c>
      <c r="H15" s="8" t="inlineStr">
        <is>
          <t>Borrar el nombre e intentar avanzar</t>
        </is>
      </c>
      <c r="I15" s="8" t="inlineStr">
        <is>
          <t>El formulario bloquea el avance y muestra validación explícita</t>
        </is>
      </c>
      <c r="J15" s="10" t="str"/>
      <c r="K15" s="8" t="str"/>
      <c r="L15" s="8" t="str"/>
      <c r="M15" s="8" t="inlineStr">
        <is>
          <t>ecommerce/e2e/form-validation-negative.spec.ts</t>
        </is>
      </c>
      <c r="N15" s="8" t="inlineStr">
        <is>
          <t>2026-04-27</t>
        </is>
      </c>
      <c r="O15" s="8" t="inlineStr">
        <is>
          <t>Mantener</t>
        </is>
      </c>
    </row>
    <row r="16" ht="26.39999961853027" customHeight="1">
      <c r="A16" s="8" t="inlineStr">
        <is>
          <t>Ecommerce</t>
        </is>
      </c>
      <c r="B16" s="8" t="inlineStr">
        <is>
          <t>ECOM-CHK-005</t>
        </is>
      </c>
      <c r="C16" s="8" t="inlineStr">
        <is>
          <t>UI</t>
        </is>
      </c>
      <c r="D16" s="8" t="inlineStr">
        <is>
          <t>Checkout</t>
        </is>
      </c>
      <c r="E16" s="8" t="inlineStr">
        <is>
          <t>Rechazar checkout con email malformado</t>
        </is>
      </c>
      <c r="F16" s="8" t="inlineStr">
        <is>
          <t>UI</t>
        </is>
      </c>
      <c r="G16" s="8" t="inlineStr">
        <is>
          <t>Carrito con productos y sesión válida</t>
        </is>
      </c>
      <c r="H16" s="8" t="inlineStr">
        <is>
          <t>Ingresar un email inválido y avanzar</t>
        </is>
      </c>
      <c r="I16" s="8" t="inlineStr">
        <is>
          <t>El formulario no acepta el submit y deja visible el error</t>
        </is>
      </c>
      <c r="J16" s="10" t="str"/>
      <c r="K16" s="8" t="str"/>
      <c r="L16" s="8" t="str"/>
      <c r="M16" s="8" t="inlineStr">
        <is>
          <t>ecommerce/e2e/form-validation-negative.spec.ts</t>
        </is>
      </c>
      <c r="N16" s="8" t="inlineStr">
        <is>
          <t>2026-04-27</t>
        </is>
      </c>
      <c r="O16" s="8" t="inlineStr">
        <is>
          <t>Mantener</t>
        </is>
      </c>
    </row>
    <row r="17" ht="39.59999847412109" customHeight="1">
      <c r="A17" s="8" t="inlineStr">
        <is>
          <t>Ecommerce</t>
        </is>
      </c>
      <c r="B17" s="8" t="inlineStr">
        <is>
          <t>ECOM-CHK-006</t>
        </is>
      </c>
      <c r="C17" s="8" t="inlineStr">
        <is>
          <t>UI</t>
        </is>
      </c>
      <c r="D17" s="8" t="inlineStr">
        <is>
          <t>Checkout</t>
        </is>
      </c>
      <c r="E17" s="8" t="inlineStr">
        <is>
          <t>Rechazar checkout con número de calle no numérico</t>
        </is>
      </c>
      <c r="F17" s="8" t="inlineStr">
        <is>
          <t>UI</t>
        </is>
      </c>
      <c r="G17" s="8" t="inlineStr">
        <is>
          <t>Checkout abierto</t>
        </is>
      </c>
      <c r="H17" s="8" t="inlineStr">
        <is>
          <t>Escribir letras en el número de dirección</t>
        </is>
      </c>
      <c r="I17" s="8" t="inlineStr">
        <is>
          <t>La validación impide guardar una dirección estructuralmente inválida</t>
        </is>
      </c>
      <c r="J17" s="10" t="str"/>
      <c r="K17" s="8" t="str"/>
      <c r="L17" s="8" t="str"/>
      <c r="M17" s="8" t="inlineStr">
        <is>
          <t>ecommerce/e2e/form-validation-negative.spec.ts</t>
        </is>
      </c>
      <c r="N17" s="8" t="inlineStr">
        <is>
          <t>2026-04-27</t>
        </is>
      </c>
      <c r="O17" s="8" t="inlineStr">
        <is>
          <t>Mantener</t>
        </is>
      </c>
    </row>
    <row r="18" ht="52.79999923706055" customHeight="1">
      <c r="A18" s="8" t="inlineStr">
        <is>
          <t>Ecommerce</t>
        </is>
      </c>
      <c r="B18" s="8" t="inlineStr">
        <is>
          <t>ECOM-CHK-007</t>
        </is>
      </c>
      <c r="C18" s="8" t="inlineStr">
        <is>
          <t>UI/E2E</t>
        </is>
      </c>
      <c r="D18" s="8" t="inlineStr">
        <is>
          <t>Checkout</t>
        </is>
      </c>
      <c r="E18" s="8" t="inlineStr">
        <is>
          <t>Rechazar checkout sin barrio o con shipping incompleto</t>
        </is>
      </c>
      <c r="F18" s="8" t="inlineStr">
        <is>
          <t>UI/E2E</t>
        </is>
      </c>
      <c r="G18" s="8" t="inlineStr">
        <is>
          <t>Carrito con productos</t>
        </is>
      </c>
      <c r="H18" s="8" t="inlineStr">
        <is>
          <t>Borrar barrio o dejar shipping incompleto</t>
        </is>
      </c>
      <c r="I18" s="8" t="inlineStr">
        <is>
          <t>El paso de pago no avanza y el error queda claro</t>
        </is>
      </c>
      <c r="J18" s="10" t="str"/>
      <c r="K18" s="8" t="str"/>
      <c r="L18" s="8" t="str"/>
      <c r="M18" s="8" t="inlineStr">
        <is>
          <t>ecommerce/e2e/form-validation-negative.spec.ts; ecommerce/e2e/logged-in-checkout-address-currency.spec.ts</t>
        </is>
      </c>
      <c r="N18" s="8" t="inlineStr">
        <is>
          <t>2026-04-27</t>
        </is>
      </c>
      <c r="O18" s="8" t="inlineStr">
        <is>
          <t>Mantener</t>
        </is>
      </c>
    </row>
    <row r="19" ht="39.59999847412109" customHeight="1">
      <c r="A19" s="8" t="inlineStr">
        <is>
          <t>Ecommerce</t>
        </is>
      </c>
      <c r="B19" s="8" t="inlineStr">
        <is>
          <t>ECOM-PAY-001</t>
        </is>
      </c>
      <c r="C19" s="8" t="inlineStr">
        <is>
          <t>E2E/API</t>
        </is>
      </c>
      <c r="D19" s="8" t="inlineStr">
        <is>
          <t>Pagos</t>
        </is>
      </c>
      <c r="E19" s="8" t="inlineStr">
        <is>
          <t>Crear preferencia de Mercado Pago</t>
        </is>
      </c>
      <c r="F19" s="8" t="inlineStr">
        <is>
          <t>E2E/API</t>
        </is>
      </c>
      <c r="G19" s="8" t="inlineStr">
        <is>
          <t>Checkout con monto válido</t>
        </is>
      </c>
      <c r="H19" s="8" t="inlineStr">
        <is>
          <t>Seleccionar Mercado Pago</t>
        </is>
      </c>
      <c r="I19" s="8" t="inlineStr">
        <is>
          <t>Se genera preferencia con datos del checkout y configuración vigente</t>
        </is>
      </c>
      <c r="J19" s="10" t="str"/>
      <c r="K19" s="8" t="str"/>
      <c r="L19" s="8" t="str"/>
      <c r="M19" s="8" t="inlineStr">
        <is>
          <t>ecommerce/e2e/mercadopago-success.spec.ts</t>
        </is>
      </c>
      <c r="N19" s="8" t="inlineStr">
        <is>
          <t>2026-04-27</t>
        </is>
      </c>
      <c r="O19" s="8" t="inlineStr">
        <is>
          <t>Mantener</t>
        </is>
      </c>
    </row>
    <row r="20" ht="26.39999961853027" customHeight="1">
      <c r="A20" s="8" t="inlineStr">
        <is>
          <t>Ecommerce</t>
        </is>
      </c>
      <c r="B20" s="8" t="inlineStr">
        <is>
          <t>ECOM-PAY-002</t>
        </is>
      </c>
      <c r="C20" s="8" t="inlineStr">
        <is>
          <t>E2E/API</t>
        </is>
      </c>
      <c r="D20" s="8" t="inlineStr">
        <is>
          <t>Pagos</t>
        </is>
      </c>
      <c r="E20" s="8" t="inlineStr">
        <is>
          <t>Confirmar pago aprobado de Mercado Pago</t>
        </is>
      </c>
      <c r="F20" s="8" t="inlineStr">
        <is>
          <t>E2E/API</t>
        </is>
      </c>
      <c r="G20" s="8" t="inlineStr">
        <is>
          <t>Preferencia o intento aprobado</t>
        </is>
      </c>
      <c r="H20" s="8" t="inlineStr">
        <is>
          <t>Simular confirmación de pago</t>
        </is>
      </c>
      <c r="I20" s="8" t="inlineStr">
        <is>
          <t>El pedido pasa a confirmado y queda trazable</t>
        </is>
      </c>
      <c r="J20" s="10" t="str"/>
      <c r="K20" s="8" t="str"/>
      <c r="L20" s="8" t="str"/>
      <c r="M20" s="8" t="inlineStr">
        <is>
          <t>ecommerce/e2e/mercadopago-success.spec.ts</t>
        </is>
      </c>
      <c r="N20" s="8" t="inlineStr">
        <is>
          <t>2026-04-27</t>
        </is>
      </c>
      <c r="O20" s="8" t="inlineStr">
        <is>
          <t>Mantener</t>
        </is>
      </c>
    </row>
    <row r="21" ht="52.79999923706055" customHeight="1">
      <c r="A21" s="8" t="inlineStr">
        <is>
          <t>Ecommerce</t>
        </is>
      </c>
      <c r="B21" s="8" t="inlineStr">
        <is>
          <t>ECOM-PAY-003</t>
        </is>
      </c>
      <c r="C21" s="8" t="inlineStr">
        <is>
          <t>UI/API</t>
        </is>
      </c>
      <c r="D21" s="8" t="inlineStr">
        <is>
          <t>Pagos</t>
        </is>
      </c>
      <c r="E21" s="8" t="inlineStr">
        <is>
          <t>Mostrar métodos de pago vigentes y cuotas disponibles</t>
        </is>
      </c>
      <c r="F21" s="8" t="inlineStr">
        <is>
          <t>UI/API</t>
        </is>
      </c>
      <c r="G21" s="8" t="inlineStr">
        <is>
          <t>Config de pagos leída desde DB segura</t>
        </is>
      </c>
      <c r="H21" s="8" t="inlineStr">
        <is>
          <t>Abrir checkout o settings relacionadas</t>
        </is>
      </c>
      <c r="I21" s="8" t="inlineStr">
        <is>
          <t>Se muestran los métodos activos y la cantidad de cuotas permitidas</t>
        </is>
      </c>
      <c r="J21" s="10" t="str"/>
      <c r="K21" s="8" t="str"/>
      <c r="L21" s="8" t="str"/>
      <c r="M21" s="8" t="inlineStr">
        <is>
          <t>ecommerce/e2e/commerce-critical.spec.ts; ecommerce/e2e/ecommerce-readiness.spec.ts</t>
        </is>
      </c>
      <c r="N21" s="8" t="inlineStr">
        <is>
          <t>2026-04-27</t>
        </is>
      </c>
      <c r="O21" s="8" t="inlineStr">
        <is>
          <t>Mantener</t>
        </is>
      </c>
    </row>
    <row r="22" ht="66" customHeight="1">
      <c r="A22" s="8" t="inlineStr">
        <is>
          <t>Ecommerce</t>
        </is>
      </c>
      <c r="B22" s="8" t="inlineStr">
        <is>
          <t>ECOM-PAY-004</t>
        </is>
      </c>
      <c r="C22" s="8" t="inlineStr">
        <is>
          <t>UI</t>
        </is>
      </c>
      <c r="D22" s="8" t="inlineStr">
        <is>
          <t>Pagos</t>
        </is>
      </c>
      <c r="E22" s="8" t="inlineStr">
        <is>
          <t>Rechazar email inválido al procesar Mercado Pago</t>
        </is>
      </c>
      <c r="F22" s="8" t="inlineStr">
        <is>
          <t>UI</t>
        </is>
      </c>
      <c r="G22" s="8" t="inlineStr">
        <is>
          <t>Checkout con Mercado Pago activo</t>
        </is>
      </c>
      <c r="H22" s="8" t="inlineStr">
        <is>
          <t>Completar pago con email inválido</t>
        </is>
      </c>
      <c r="I22" s="8" t="inlineStr">
        <is>
          <t>La interfaz valida el correo y no genera checkout roto</t>
        </is>
      </c>
      <c r="J22" s="10" t="str"/>
      <c r="K22" s="8" t="str"/>
      <c r="L22" s="8" t="str"/>
      <c r="M22" s="8" t="inlineStr">
        <is>
          <t>backend/src/storefront/dto/mercadopago-charge.dto.ts; backend/src/storefront/payments/__tests__/mercadopago-charge.dto.spec.ts</t>
        </is>
      </c>
      <c r="N22" s="8" t="inlineStr">
        <is>
          <t>2026-04-27</t>
        </is>
      </c>
      <c r="O22" s="8" t="inlineStr">
        <is>
          <t>Mantener</t>
        </is>
      </c>
    </row>
    <row r="23" ht="66" customHeight="1">
      <c r="A23" s="8" t="inlineStr">
        <is>
          <t>Ecommerce</t>
        </is>
      </c>
      <c r="B23" s="8" t="inlineStr">
        <is>
          <t>ECOM-PAY-005</t>
        </is>
      </c>
      <c r="C23" s="8" t="inlineStr">
        <is>
          <t>API/UI</t>
        </is>
      </c>
      <c r="D23" s="8" t="inlineStr">
        <is>
          <t>Pagos</t>
        </is>
      </c>
      <c r="E23" s="8" t="inlineStr">
        <is>
          <t>Bloquear monto/cuota inválidos</t>
        </is>
      </c>
      <c r="F23" s="8" t="inlineStr">
        <is>
          <t>API/UI</t>
        </is>
      </c>
      <c r="G23" s="8" t="inlineStr">
        <is>
          <t>Config de cuotas disponible</t>
        </is>
      </c>
      <c r="H23" s="8" t="inlineStr">
        <is>
          <t>Forzar cuota o monto fuera de rango</t>
        </is>
      </c>
      <c r="I23" s="8" t="inlineStr">
        <is>
          <t>El sistema rechaza el cálculo en vez de continuar silenciosamente</t>
        </is>
      </c>
      <c r="J23" s="10" t="str"/>
      <c r="K23" s="8" t="str"/>
      <c r="L23" s="8" t="str"/>
      <c r="M23" s="8" t="inlineStr">
        <is>
          <t>backend/src/storefront/dto/mercadopago-charge.dto.ts; backend/src/storefront/payments/__tests__/mercadopago-charge.dto.spec.ts</t>
        </is>
      </c>
      <c r="N23" s="8" t="inlineStr">
        <is>
          <t>2026-04-27</t>
        </is>
      </c>
      <c r="O23" s="8" t="inlineStr">
        <is>
          <t>Mantener</t>
        </is>
      </c>
    </row>
    <row r="24" ht="52.79999923706055" customHeight="1">
      <c r="A24" s="8" t="inlineStr">
        <is>
          <t>Ecommerce</t>
        </is>
      </c>
      <c r="B24" s="8" t="inlineStr">
        <is>
          <t>ECOM-AUTH-001</t>
        </is>
      </c>
      <c r="C24" s="8" t="inlineStr">
        <is>
          <t>UI/E2E</t>
        </is>
      </c>
      <c r="D24" s="8" t="inlineStr">
        <is>
          <t>Autenticación</t>
        </is>
      </c>
      <c r="E24" s="8" t="inlineStr">
        <is>
          <t>Login con teléfono desde el storefront</t>
        </is>
      </c>
      <c r="F24" s="8" t="inlineStr">
        <is>
          <t>UI/E2E</t>
        </is>
      </c>
      <c r="G24" s="8" t="inlineStr">
        <is>
          <t>Usuario con cuenta y teléfono normalizado</t>
        </is>
      </c>
      <c r="H24" s="8" t="inlineStr">
        <is>
          <t>Abrir modal de login y enviar teléfono+contraseña</t>
        </is>
      </c>
      <c r="I24" s="8" t="inlineStr">
        <is>
          <t>La sesión se crea y el header pasa a estado autenticado</t>
        </is>
      </c>
      <c r="J24" s="10" t="str"/>
      <c r="K24" s="8" t="str"/>
      <c r="L24" s="8" t="str"/>
      <c r="M24" s="8" t="inlineStr">
        <is>
          <t>ecommerce/e2e/ecommerce-readiness.spec.ts; ecommerce/e2e/wishlist-post-login.spec.ts</t>
        </is>
      </c>
      <c r="N24" s="8" t="inlineStr">
        <is>
          <t>2026-04-27</t>
        </is>
      </c>
      <c r="O24" s="8" t="inlineStr">
        <is>
          <t>Mantener</t>
        </is>
      </c>
    </row>
    <row r="25" ht="39.59999847412109" customHeight="1">
      <c r="A25" s="8" t="inlineStr">
        <is>
          <t>Ecommerce</t>
        </is>
      </c>
      <c r="B25" s="8" t="inlineStr">
        <is>
          <t>ECOM-AUTH-002</t>
        </is>
      </c>
      <c r="C25" s="8" t="inlineStr">
        <is>
          <t>UI/E2E</t>
        </is>
      </c>
      <c r="D25" s="8" t="inlineStr">
        <is>
          <t>Autenticación</t>
        </is>
      </c>
      <c r="E25" s="8" t="inlineStr">
        <is>
          <t>Login con email desde el storefront</t>
        </is>
      </c>
      <c r="F25" s="8" t="inlineStr">
        <is>
          <t>UI/E2E</t>
        </is>
      </c>
      <c r="G25" s="8" t="inlineStr">
        <is>
          <t>Usuario con correo y contraseña</t>
        </is>
      </c>
      <c r="H25" s="8" t="inlineStr">
        <is>
          <t>Abrir modal de login y enviar email+contraseña</t>
        </is>
      </c>
      <c r="I25" s="8" t="inlineStr">
        <is>
          <t>La sesión se crea y el usuario puede navegar como autenticado</t>
        </is>
      </c>
      <c r="J25" s="10" t="str"/>
      <c r="K25" s="8" t="str"/>
      <c r="L25" s="8" t="str"/>
      <c r="M25" s="8" t="inlineStr">
        <is>
          <t>ecommerce/e2e/ecommerce-readiness.spec.ts</t>
        </is>
      </c>
      <c r="N25" s="8" t="inlineStr">
        <is>
          <t>2026-04-27</t>
        </is>
      </c>
      <c r="O25" s="8" t="inlineStr">
        <is>
          <t>Mantener</t>
        </is>
      </c>
    </row>
    <row r="26" ht="39.59999847412109" customHeight="1">
      <c r="A26" s="8" t="inlineStr">
        <is>
          <t>Ecommerce</t>
        </is>
      </c>
      <c r="B26" s="8" t="inlineStr">
        <is>
          <t>ECOM-AUTH-003</t>
        </is>
      </c>
      <c r="C26" s="8" t="inlineStr">
        <is>
          <t>UI/E2E</t>
        </is>
      </c>
      <c r="D26" s="8" t="inlineStr">
        <is>
          <t>Autenticación</t>
        </is>
      </c>
      <c r="E26" s="8" t="inlineStr">
        <is>
          <t>Login con Google desde el storefront</t>
        </is>
      </c>
      <c r="F26" s="8" t="inlineStr">
        <is>
          <t>UI/E2E</t>
        </is>
      </c>
      <c r="G26" s="8" t="inlineStr">
        <is>
          <t>Google OAuth activo y secretos cargados</t>
        </is>
      </c>
      <c r="H26" s="8" t="inlineStr">
        <is>
          <t>Abrir modal de login y ejecutar Google sign-in</t>
        </is>
      </c>
      <c r="I26" s="8" t="inlineStr">
        <is>
          <t>La sesión se crea vía OAuth y retorna al storefront con estado autenticado</t>
        </is>
      </c>
      <c r="J26" s="10" t="str"/>
      <c r="K26" s="8" t="str"/>
      <c r="L26" s="8" t="str"/>
      <c r="M26" s="8" t="inlineStr">
        <is>
          <t>backend/src/storefront/oauth/__tests__/google-oauth.service.spec.ts</t>
        </is>
      </c>
      <c r="N26" s="8" t="inlineStr">
        <is>
          <t>2026-04-27</t>
        </is>
      </c>
      <c r="O26" s="8" t="inlineStr">
        <is>
          <t>Mantener</t>
        </is>
      </c>
    </row>
    <row r="27" ht="66" customHeight="1">
      <c r="A27" s="8" t="inlineStr">
        <is>
          <t>Ecommerce</t>
        </is>
      </c>
      <c r="B27" s="8" t="inlineStr">
        <is>
          <t>ECOM-AUTH-004</t>
        </is>
      </c>
      <c r="C27" s="8" t="inlineStr">
        <is>
          <t>UI/E2E</t>
        </is>
      </c>
      <c r="D27" s="8" t="inlineStr">
        <is>
          <t>Registro</t>
        </is>
      </c>
      <c r="E27" s="8" t="inlineStr">
        <is>
          <t>Registro con teléfono desde el storefront</t>
        </is>
      </c>
      <c r="F27" s="8" t="inlineStr">
        <is>
          <t>UI/E2E</t>
        </is>
      </c>
      <c r="G27" s="8" t="inlineStr">
        <is>
          <t>Teléfono disponible y términos aceptados</t>
        </is>
      </c>
      <c r="H27" s="8" t="inlineStr">
        <is>
          <t>Abrir registro, completar datos y enviar</t>
        </is>
      </c>
      <c r="I27" s="8" t="inlineStr">
        <is>
          <t>La cuenta se crea, la sesión queda activa y la UI continúa al perfil autenticado</t>
        </is>
      </c>
      <c r="J27" s="10" t="str"/>
      <c r="K27" s="8" t="str"/>
      <c r="L27" s="8" t="str"/>
      <c r="M27" s="8" t="inlineStr">
        <is>
          <t>ecommerce/e2e/ecommerce-readiness.spec.ts; ecommerce/src/app/(storefront)/account/register/RegisterClient.tsx</t>
        </is>
      </c>
      <c r="N27" s="8" t="inlineStr">
        <is>
          <t>2026-04-27</t>
        </is>
      </c>
      <c r="O27" s="8" t="inlineStr">
        <is>
          <t>Mantener</t>
        </is>
      </c>
    </row>
    <row r="28" ht="39.59999847412109" customHeight="1">
      <c r="A28" s="8" t="inlineStr">
        <is>
          <t>Ecommerce</t>
        </is>
      </c>
      <c r="B28" s="8" t="inlineStr">
        <is>
          <t>ECOM-AUTH-005</t>
        </is>
      </c>
      <c r="C28" s="8" t="inlineStr">
        <is>
          <t>UI/E2E</t>
        </is>
      </c>
      <c r="D28" s="8" t="inlineStr">
        <is>
          <t>Registro</t>
        </is>
      </c>
      <c r="E28" s="8" t="inlineStr">
        <is>
          <t>Registro con email desde el storefront</t>
        </is>
      </c>
      <c r="F28" s="8" t="inlineStr">
        <is>
          <t>UI/E2E</t>
        </is>
      </c>
      <c r="G28" s="8" t="inlineStr">
        <is>
          <t>Correo válido opcional y teléfono obligatorio</t>
        </is>
      </c>
      <c r="H28" s="8" t="inlineStr">
        <is>
          <t>Abrir registro y completar email+teléfono</t>
        </is>
      </c>
      <c r="I28" s="8" t="inlineStr">
        <is>
          <t>La cuenta se crea y el flujo de verificación por email queda disponible</t>
        </is>
      </c>
      <c r="J28" s="10" t="str"/>
      <c r="K28" s="8" t="str"/>
      <c r="L28" s="8" t="str"/>
      <c r="M28" s="8" t="inlineStr">
        <is>
          <t>ecommerce/e2e/auth-email.spec.ts</t>
        </is>
      </c>
      <c r="N28" s="8" t="inlineStr">
        <is>
          <t>2026-04-27</t>
        </is>
      </c>
      <c r="O28" s="8" t="inlineStr">
        <is>
          <t>Mantener</t>
        </is>
      </c>
    </row>
    <row r="29" ht="39.59999847412109" customHeight="1">
      <c r="A29" s="8" t="inlineStr">
        <is>
          <t>Ecommerce</t>
        </is>
      </c>
      <c r="B29" s="8" t="inlineStr">
        <is>
          <t>ECOM-AUTH-006</t>
        </is>
      </c>
      <c r="C29" s="8" t="inlineStr">
        <is>
          <t>UI/E2E</t>
        </is>
      </c>
      <c r="D29" s="8" t="inlineStr">
        <is>
          <t>Registro</t>
        </is>
      </c>
      <c r="E29" s="8" t="inlineStr">
        <is>
          <t>Registro con Google</t>
        </is>
      </c>
      <c r="F29" s="8" t="inlineStr">
        <is>
          <t>UI/E2E</t>
        </is>
      </c>
      <c r="G29" s="8" t="inlineStr">
        <is>
          <t>Google OAuth activo</t>
        </is>
      </c>
      <c r="H29" s="8" t="inlineStr">
        <is>
          <t>Iniciar registro o login con Google</t>
        </is>
      </c>
      <c r="I29" s="8" t="inlineStr">
        <is>
          <t>Se crea o vincula la cuenta y la sesión queda operativa</t>
        </is>
      </c>
      <c r="J29" s="10" t="str"/>
      <c r="K29" s="8" t="str"/>
      <c r="L29" s="8" t="str"/>
      <c r="M29" s="8" t="inlineStr">
        <is>
          <t>backend/src/storefront/oauth/__tests__/google-oauth.service.spec.ts</t>
        </is>
      </c>
      <c r="N29" s="8" t="inlineStr">
        <is>
          <t>2026-04-27</t>
        </is>
      </c>
      <c r="O29" s="8" t="inlineStr">
        <is>
          <t>Mantener</t>
        </is>
      </c>
    </row>
    <row r="30" ht="26.39999961853027" customHeight="1">
      <c r="A30" s="8" t="inlineStr">
        <is>
          <t>Ecommerce</t>
        </is>
      </c>
      <c r="B30" s="8" t="inlineStr">
        <is>
          <t>ECOM-AUTH-007</t>
        </is>
      </c>
      <c r="C30" s="8" t="inlineStr">
        <is>
          <t>UI/E2E</t>
        </is>
      </c>
      <c r="D30" s="8" t="inlineStr">
        <is>
          <t>Autenticación</t>
        </is>
      </c>
      <c r="E30" s="8" t="inlineStr">
        <is>
          <t>Rechazar login con identificador malformado</t>
        </is>
      </c>
      <c r="F30" s="8" t="inlineStr">
        <is>
          <t>UI/E2E</t>
        </is>
      </c>
      <c r="G30" s="8" t="inlineStr">
        <is>
          <t>Modal de login visible</t>
        </is>
      </c>
      <c r="H30" s="8" t="inlineStr">
        <is>
          <t>Ingresar letras donde debe ir teléfono o email inválido</t>
        </is>
      </c>
      <c r="I30" s="8" t="inlineStr">
        <is>
          <t>El formulario bloquea el submit y muestra error de validación</t>
        </is>
      </c>
      <c r="J30" s="10" t="str"/>
      <c r="K30" s="8" t="str"/>
      <c r="L30" s="8" t="str"/>
      <c r="M30" s="8" t="inlineStr">
        <is>
          <t>ecommerce/e2e/form-validation-negative.spec.ts</t>
        </is>
      </c>
      <c r="N30" s="8" t="inlineStr">
        <is>
          <t>2026-04-27</t>
        </is>
      </c>
      <c r="O30" s="8" t="inlineStr">
        <is>
          <t>Mantener</t>
        </is>
      </c>
    </row>
    <row r="31" ht="26.39999961853027" customHeight="1">
      <c r="A31" s="8" t="inlineStr">
        <is>
          <t>Ecommerce</t>
        </is>
      </c>
      <c r="B31" s="8" t="inlineStr">
        <is>
          <t>ECOM-AUTH-008</t>
        </is>
      </c>
      <c r="C31" s="8" t="inlineStr">
        <is>
          <t>UI/E2E</t>
        </is>
      </c>
      <c r="D31" s="8" t="inlineStr">
        <is>
          <t>Registro</t>
        </is>
      </c>
      <c r="E31" s="8" t="inlineStr">
        <is>
          <t>Rechazar registro con teléfono inválido</t>
        </is>
      </c>
      <c r="F31" s="8" t="inlineStr">
        <is>
          <t>UI/E2E</t>
        </is>
      </c>
      <c r="G31" s="8" t="inlineStr">
        <is>
          <t>Formulario de registro visible</t>
        </is>
      </c>
      <c r="H31" s="8" t="inlineStr">
        <is>
          <t>Ingresar caracteres no numéricos en teléfono</t>
        </is>
      </c>
      <c r="I31" s="8" t="inlineStr">
        <is>
          <t>El formulario no acepta el alta y muestra el error correspondiente</t>
        </is>
      </c>
      <c r="J31" s="10" t="str"/>
      <c r="K31" s="8" t="str"/>
      <c r="L31" s="8" t="str"/>
      <c r="M31" s="8" t="inlineStr">
        <is>
          <t>ecommerce/e2e/form-validation-negative.spec.ts</t>
        </is>
      </c>
      <c r="N31" s="8" t="inlineStr">
        <is>
          <t>2026-04-27</t>
        </is>
      </c>
      <c r="O31" s="8" t="inlineStr">
        <is>
          <t>Mantener</t>
        </is>
      </c>
    </row>
    <row r="32" ht="26.39999961853027" customHeight="1">
      <c r="A32" s="8" t="inlineStr">
        <is>
          <t>Ecommerce</t>
        </is>
      </c>
      <c r="B32" s="8" t="inlineStr">
        <is>
          <t>ECOM-AUTH-009</t>
        </is>
      </c>
      <c r="C32" s="8" t="inlineStr">
        <is>
          <t>UI/E2E</t>
        </is>
      </c>
      <c r="D32" s="8" t="inlineStr">
        <is>
          <t>Registro</t>
        </is>
      </c>
      <c r="E32" s="8" t="inlineStr">
        <is>
          <t>Rechazar registro con email malformado</t>
        </is>
      </c>
      <c r="F32" s="8" t="inlineStr">
        <is>
          <t>UI/E2E</t>
        </is>
      </c>
      <c r="G32" s="8" t="inlineStr">
        <is>
          <t>Formulario de registro visible</t>
        </is>
      </c>
      <c r="H32" s="8" t="inlineStr">
        <is>
          <t>Ingresar un email inválido</t>
        </is>
      </c>
      <c r="I32" s="8" t="inlineStr">
        <is>
          <t>La validación impide crear la cuenta</t>
        </is>
      </c>
      <c r="J32" s="10" t="str"/>
      <c r="K32" s="8" t="str"/>
      <c r="L32" s="8" t="str"/>
      <c r="M32" s="8" t="inlineStr">
        <is>
          <t>ecommerce/e2e/form-validation-negative.spec.ts</t>
        </is>
      </c>
      <c r="N32" s="8" t="inlineStr">
        <is>
          <t>2026-04-27</t>
        </is>
      </c>
      <c r="O32" s="8" t="inlineStr">
        <is>
          <t>Mantener</t>
        </is>
      </c>
    </row>
    <row r="33" ht="39.59999847412109" customHeight="1">
      <c r="A33" s="8" t="inlineStr">
        <is>
          <t>Ecommerce</t>
        </is>
      </c>
      <c r="B33" s="8" t="inlineStr">
        <is>
          <t>ECOM-AUTH-012</t>
        </is>
      </c>
      <c r="C33" s="8" t="inlineStr">
        <is>
          <t>E2E/API</t>
        </is>
      </c>
      <c r="D33" s="8" t="inlineStr">
        <is>
          <t>Registro</t>
        </is>
      </c>
      <c r="E33" s="8" t="inlineStr">
        <is>
          <t>Rechazar registro con correo ya existente</t>
        </is>
      </c>
      <c r="F33" s="8" t="inlineStr">
        <is>
          <t>E2E/API</t>
        </is>
      </c>
      <c r="G33" s="8" t="inlineStr">
        <is>
          <t>Cliente existente registrado por API o UI</t>
        </is>
      </c>
      <c r="H33" s="8" t="inlineStr">
        <is>
          <t>Intentar crear otra cuenta con el mismo correo</t>
        </is>
      </c>
      <c r="I33" s="8" t="inlineStr">
        <is>
          <t>El backend devuelve conflicto y el frontend traduce el error sin crear una segunda cuenta</t>
        </is>
      </c>
      <c r="J33" s="10" t="str"/>
      <c r="K33" s="8" t="str"/>
      <c r="L33" s="8" t="str"/>
      <c r="M33" s="8" t="inlineStr">
        <is>
          <t>ecommerce/e2e/auth-register-duplicate.spec.ts</t>
        </is>
      </c>
      <c r="N33" s="8" t="inlineStr">
        <is>
          <t>2026-04-27</t>
        </is>
      </c>
      <c r="O33" s="8" t="inlineStr">
        <is>
          <t>Mantener</t>
        </is>
      </c>
    </row>
    <row r="34" ht="26.39999961853027" customHeight="1">
      <c r="A34" s="8" t="inlineStr">
        <is>
          <t>Ecommerce</t>
        </is>
      </c>
      <c r="B34" s="8" t="inlineStr">
        <is>
          <t>ECOM-AUTH-013</t>
        </is>
      </c>
      <c r="C34" s="8" t="inlineStr">
        <is>
          <t>E2E/API</t>
        </is>
      </c>
      <c r="D34" s="8" t="inlineStr">
        <is>
          <t>Registro</t>
        </is>
      </c>
      <c r="E34" s="8" t="inlineStr">
        <is>
          <t>Rechazar registro con teléfono ya existente</t>
        </is>
      </c>
      <c r="F34" s="8" t="inlineStr">
        <is>
          <t>E2E/API</t>
        </is>
      </c>
      <c r="G34" s="8" t="inlineStr">
        <is>
          <t>Cliente existente registrado por API o UI</t>
        </is>
      </c>
      <c r="H34" s="8" t="inlineStr">
        <is>
          <t>Intentar crear otra cuenta con el mismo teléfono</t>
        </is>
      </c>
      <c r="I34" s="8" t="inlineStr">
        <is>
          <t>El backend devuelve conflicto y no duplica el cliente</t>
        </is>
      </c>
      <c r="J34" s="10" t="str"/>
      <c r="K34" s="8" t="str"/>
      <c r="L34" s="8" t="str"/>
      <c r="M34" s="8" t="inlineStr">
        <is>
          <t>ecommerce/e2e/auth-register-duplicate.spec.ts</t>
        </is>
      </c>
      <c r="N34" s="8" t="inlineStr">
        <is>
          <t>2026-04-27</t>
        </is>
      </c>
      <c r="O34" s="8" t="inlineStr">
        <is>
          <t>Mantener</t>
        </is>
      </c>
    </row>
    <row r="35" ht="52.79999923706055" customHeight="1">
      <c r="A35" s="8" t="inlineStr">
        <is>
          <t>Ecommerce</t>
        </is>
      </c>
      <c r="B35" s="8" t="inlineStr">
        <is>
          <t>ECOM-AUTH-014</t>
        </is>
      </c>
      <c r="C35" s="8" t="inlineStr">
        <is>
          <t>API</t>
        </is>
      </c>
      <c r="D35" s="8" t="inlineStr">
        <is>
          <t>Registro</t>
        </is>
      </c>
      <c r="E35" s="8" t="inlineStr">
        <is>
          <t>Rechazar payload de registro con nombres vacíos o password sólo con espacios</t>
        </is>
      </c>
      <c r="F35" s="8" t="inlineStr">
        <is>
          <t>API</t>
        </is>
      </c>
      <c r="G35" s="8" t="inlineStr">
        <is>
          <t>Endpoint de registro disponible</t>
        </is>
      </c>
      <c r="H35" s="8" t="inlineStr">
        <is>
          <t>Enviar firstName/lastName vacíos o password blanco</t>
        </is>
      </c>
      <c r="I35" s="8" t="inlineStr">
        <is>
          <t>La validación del backend rechaza el payload antes de tocar la base</t>
        </is>
      </c>
      <c r="J35" s="10" t="str"/>
      <c r="K35" s="8" t="str"/>
      <c r="L35" s="8" t="str"/>
      <c r="M35" s="8" t="inlineStr">
        <is>
          <t>backend/src/storefront/dto/auth.dto.ts; backend/src/storefront/__tests__/auth.dto.spec.ts</t>
        </is>
      </c>
      <c r="N35" s="8" t="inlineStr">
        <is>
          <t>2026-04-27</t>
        </is>
      </c>
      <c r="O35" s="8" t="inlineStr">
        <is>
          <t>Mantener</t>
        </is>
      </c>
    </row>
    <row r="36" ht="26.39999961853027" customHeight="1">
      <c r="A36" s="8" t="inlineStr">
        <is>
          <t>Ecommerce</t>
        </is>
      </c>
      <c r="B36" s="8" t="inlineStr">
        <is>
          <t>ECOM-WISH-001</t>
        </is>
      </c>
      <c r="C36" s="8" t="inlineStr">
        <is>
          <t>E2E</t>
        </is>
      </c>
      <c r="D36" s="8" t="inlineStr">
        <is>
          <t>Wishlist</t>
        </is>
      </c>
      <c r="E36" s="8" t="inlineStr">
        <is>
          <t>Agregar y remover productos en wishlist post-login</t>
        </is>
      </c>
      <c r="F36" s="8" t="inlineStr">
        <is>
          <t>E2E</t>
        </is>
      </c>
      <c r="G36" s="8" t="inlineStr">
        <is>
          <t>Usuario autenticado</t>
        </is>
      </c>
      <c r="H36" s="8" t="inlineStr">
        <is>
          <t>Abrir wishlist y alternar un producto</t>
        </is>
      </c>
      <c r="I36" s="8" t="inlineStr">
        <is>
          <t>El estado, contador y persistencia reflejan el cambio</t>
        </is>
      </c>
      <c r="J36" s="10" t="str"/>
      <c r="K36" s="8" t="str"/>
      <c r="L36" s="8" t="str"/>
      <c r="M36" s="8" t="inlineStr">
        <is>
          <t>ecommerce/e2e/wishlist-post-login.spec.ts</t>
        </is>
      </c>
      <c r="N36" s="8" t="str"/>
      <c r="O36" s="8" t="inlineStr">
        <is>
          <t>2026-04-27</t>
        </is>
      </c>
    </row>
    <row r="37" ht="26.39999961853027" customHeight="1">
      <c r="A37" s="8" t="inlineStr">
        <is>
          <t>Ecommerce</t>
        </is>
      </c>
      <c r="B37" s="8" t="inlineStr">
        <is>
          <t>ECOM-ORD-001</t>
        </is>
      </c>
      <c r="C37" s="8" t="inlineStr">
        <is>
          <t>E2E</t>
        </is>
      </c>
      <c r="D37" s="8" t="inlineStr">
        <is>
          <t>Órdenes</t>
        </is>
      </c>
      <c r="E37" s="8" t="inlineStr">
        <is>
          <t>Ver historial de órdenes del cliente</t>
        </is>
      </c>
      <c r="F37" s="8" t="inlineStr">
        <is>
          <t>E2E</t>
        </is>
      </c>
      <c r="G37" s="8" t="inlineStr">
        <is>
          <t>Usuario autenticado con pedidos</t>
        </is>
      </c>
      <c r="H37" s="8" t="inlineStr">
        <is>
          <t>Abrir /account/orders</t>
        </is>
      </c>
      <c r="I37" s="8" t="inlineStr">
        <is>
          <t>Se listan pedidos con estado, montos y navegación a detalle</t>
        </is>
      </c>
      <c r="J37" s="10" t="str"/>
      <c r="K37" s="8" t="str"/>
      <c r="L37" s="8" t="str"/>
      <c r="M37" s="8" t="inlineStr">
        <is>
          <t>ecommerce/e2e/account-orders-list.spec.ts</t>
        </is>
      </c>
      <c r="N37" s="8" t="str"/>
      <c r="O37" s="8" t="inlineStr">
        <is>
          <t>2026-04-27</t>
        </is>
      </c>
    </row>
    <row r="38" ht="39.59999847412109" customHeight="1">
      <c r="A38" s="8" t="inlineStr">
        <is>
          <t>Ecommerce</t>
        </is>
      </c>
      <c r="B38" s="8" t="inlineStr">
        <is>
          <t>ECOM-ORD-002</t>
        </is>
      </c>
      <c r="C38" s="8" t="inlineStr">
        <is>
          <t>E2E</t>
        </is>
      </c>
      <c r="D38" s="8" t="inlineStr">
        <is>
          <t>Órdenes</t>
        </is>
      </c>
      <c r="E38" s="8" t="inlineStr">
        <is>
          <t>Abrir detalle de orden por UUID público</t>
        </is>
      </c>
      <c r="F38" s="8" t="inlineStr">
        <is>
          <t>E2E</t>
        </is>
      </c>
      <c r="G38" s="8" t="inlineStr">
        <is>
          <t>Pedido ya emitido</t>
        </is>
      </c>
      <c r="H38" s="8" t="inlineStr">
        <is>
          <t>Click en una notificación o entrar al detalle</t>
        </is>
      </c>
      <c r="I38" s="8" t="inlineStr">
        <is>
          <t>Se muestra detalle público, dirección estructurada y timeline correcta</t>
        </is>
      </c>
      <c r="J38" s="10" t="str"/>
      <c r="K38" s="8" t="str"/>
      <c r="L38" s="8" t="str"/>
      <c r="M38" s="8" t="inlineStr">
        <is>
          <t>ecommerce/e2e/account-notifications-order-detail.spec.ts</t>
        </is>
      </c>
      <c r="N38" s="8" t="inlineStr">
        <is>
          <t>2026-04-27</t>
        </is>
      </c>
      <c r="O38" s="8" t="inlineStr">
        <is>
          <t>Mantener</t>
        </is>
      </c>
    </row>
    <row r="39" ht="39.59999847412109" customHeight="1">
      <c r="A39" s="8" t="inlineStr">
        <is>
          <t>Ecommerce</t>
        </is>
      </c>
      <c r="B39" s="8" t="inlineStr">
        <is>
          <t>ECOM-ORD-003</t>
        </is>
      </c>
      <c r="C39" s="8" t="inlineStr">
        <is>
          <t>E2E</t>
        </is>
      </c>
      <c r="D39" s="8" t="inlineStr">
        <is>
          <t>Órdenes</t>
        </is>
      </c>
      <c r="E39" s="8" t="inlineStr">
        <is>
          <t>Notificaciones de cuenta: listar, leer y borrar</t>
        </is>
      </c>
      <c r="F39" s="8" t="inlineStr">
        <is>
          <t>E2E</t>
        </is>
      </c>
      <c r="G39" s="8" t="inlineStr">
        <is>
          <t>Usuario autenticado con notificaciones</t>
        </is>
      </c>
      <c r="H39" s="8" t="inlineStr">
        <is>
          <t>Abrir campana, leer y borrar items</t>
        </is>
      </c>
      <c r="I39" s="8" t="inlineStr">
        <is>
          <t>La lista carga, permite leer individualmente y limpiar el buzón</t>
        </is>
      </c>
      <c r="J39" s="10" t="str"/>
      <c r="K39" s="8" t="str"/>
      <c r="L39" s="8" t="str"/>
      <c r="M39" s="8" t="inlineStr">
        <is>
          <t>ecommerce/e2e/account-notifications-order-detail.spec.ts</t>
        </is>
      </c>
      <c r="N39" s="8" t="inlineStr">
        <is>
          <t>2026-04-27</t>
        </is>
      </c>
      <c r="O39" s="8" t="inlineStr">
        <is>
          <t>Mantener</t>
        </is>
      </c>
    </row>
    <row r="40" ht="26.39999961853027" customHeight="1">
      <c r="A40" s="8" t="inlineStr">
        <is>
          <t>Ecommerce</t>
        </is>
      </c>
      <c r="B40" s="8" t="inlineStr">
        <is>
          <t>ECOM-ORD-004</t>
        </is>
      </c>
      <c r="C40" s="8" t="inlineStr">
        <is>
          <t>UI/E2E</t>
        </is>
      </c>
      <c r="D40" s="8" t="inlineStr">
        <is>
          <t>Órdenes</t>
        </is>
      </c>
      <c r="E40" s="8" t="inlineStr">
        <is>
          <t>Ocultar reseña si la orden no es elegible</t>
        </is>
      </c>
      <c r="F40" s="8" t="inlineStr">
        <is>
          <t>UI/E2E</t>
        </is>
      </c>
      <c r="G40" s="8" t="inlineStr">
        <is>
          <t>Orden no entregada o review deshabilitado</t>
        </is>
      </c>
      <c r="H40" s="8" t="inlineStr">
        <is>
          <t>Abrir detalle de orden</t>
        </is>
      </c>
      <c r="I40" s="8" t="inlineStr">
        <is>
          <t>El CTA no aparece o explica por qué no está disponible</t>
        </is>
      </c>
      <c r="J40" s="10" t="str"/>
      <c r="K40" s="8" t="str"/>
      <c r="L40" s="8" t="str"/>
      <c r="M40" s="8" t="inlineStr">
        <is>
          <t>ecommerce/e2e/order-review-cta-negative.spec.ts</t>
        </is>
      </c>
      <c r="N40" s="8" t="inlineStr">
        <is>
          <t>2026-04-27</t>
        </is>
      </c>
      <c r="O40" s="8" t="inlineStr">
        <is>
          <t>Mantener</t>
        </is>
      </c>
    </row>
    <row r="41" ht="39.59999847412109" customHeight="1">
      <c r="A41" s="8" t="inlineStr">
        <is>
          <t>Ecommerce</t>
        </is>
      </c>
      <c r="B41" s="8" t="inlineStr">
        <is>
          <t>ECOM-SUP-001</t>
        </is>
      </c>
      <c r="C41" s="8" t="inlineStr">
        <is>
          <t>UI</t>
        </is>
      </c>
      <c r="D41" s="8" t="inlineStr">
        <is>
          <t>Soporte/Contenido</t>
        </is>
      </c>
      <c r="E41" s="8" t="inlineStr">
        <is>
          <t>Abrir FAQ o contacto comercial</t>
        </is>
      </c>
      <c r="F41" s="8" t="inlineStr">
        <is>
          <t>UI</t>
        </is>
      </c>
      <c r="G41" s="8" t="inlineStr">
        <is>
          <t>Sitio activo</t>
        </is>
      </c>
      <c r="H41" s="8" t="inlineStr">
        <is>
          <t>Navegar a /contact</t>
        </is>
      </c>
      <c r="I41" s="8" t="inlineStr">
        <is>
          <t>Se muestra contenido de contacto o ayuda coherente con el sitio</t>
        </is>
      </c>
      <c r="J41" s="10" t="str"/>
      <c r="K41" s="8" t="str"/>
      <c r="L41" s="8" t="str"/>
      <c r="M41" s="8" t="inlineStr">
        <is>
          <t>ecommerce/e2e/contact-page.spec.ts</t>
        </is>
      </c>
      <c r="N41" s="8" t="inlineStr">
        <is>
          <t>2026-04-27</t>
        </is>
      </c>
      <c r="O41" s="8" t="inlineStr">
        <is>
          <t>Mantener</t>
        </is>
      </c>
    </row>
    <row r="42" ht="26.39999961853027" customHeight="1">
      <c r="A42" s="8" t="inlineStr">
        <is>
          <t>Ecommerce</t>
        </is>
      </c>
      <c r="B42" s="8" t="inlineStr">
        <is>
          <t>ECOM-REV-001</t>
        </is>
      </c>
      <c r="C42" s="8" t="inlineStr">
        <is>
          <t>UI/E2E</t>
        </is>
      </c>
      <c r="D42" s="8" t="inlineStr">
        <is>
          <t>Reseñas</t>
        </is>
      </c>
      <c r="E42" s="8" t="inlineStr">
        <is>
          <t>Acceso a escribir reseña desde detalle de orden</t>
        </is>
      </c>
      <c r="F42" s="8" t="inlineStr">
        <is>
          <t>UI/E2E</t>
        </is>
      </c>
      <c r="G42" s="8" t="inlineStr">
        <is>
          <t>Orden entregada y feature habilitada</t>
        </is>
      </c>
      <c r="H42" s="8" t="inlineStr">
        <is>
          <t>Abrir orden del cliente</t>
        </is>
      </c>
      <c r="I42" s="8" t="inlineStr">
        <is>
          <t>El CTA se muestra sólo si la política de reviews lo permite</t>
        </is>
      </c>
      <c r="J42" s="10" t="str"/>
      <c r="K42" s="8" t="str"/>
      <c r="L42" s="8" t="str"/>
      <c r="M42" s="8" t="inlineStr">
        <is>
          <t>ecommerce/e2e/product-reviews.spec.ts</t>
        </is>
      </c>
      <c r="N42" s="8" t="inlineStr">
        <is>
          <t>2026-04-27</t>
        </is>
      </c>
      <c r="O42" s="8" t="inlineStr">
        <is>
          <t>Mantener</t>
        </is>
      </c>
    </row>
    <row r="43" ht="52.79999923706055" customHeight="1">
      <c r="A43" s="8" t="inlineStr">
        <is>
          <t>Ecommerce</t>
        </is>
      </c>
      <c r="B43" s="8" t="inlineStr">
        <is>
          <t>ECOM-CART-004</t>
        </is>
      </c>
      <c r="C43" s="8" t="inlineStr">
        <is>
          <t>E2E</t>
        </is>
      </c>
      <c r="D43" s="8" t="inlineStr">
        <is>
          <t>Carrito</t>
        </is>
      </c>
      <c r="E43" s="8" t="inlineStr">
        <is>
          <t>Persistir el carrito después de recargar la página</t>
        </is>
      </c>
      <c r="F43" s="8" t="inlineStr">
        <is>
          <t>E2E</t>
        </is>
      </c>
      <c r="G43" s="8" t="inlineStr">
        <is>
          <t>Carrito con productos cargados</t>
        </is>
      </c>
      <c r="H43" s="8" t="inlineStr">
        <is>
          <t>Recargar storefront</t>
        </is>
      </c>
      <c r="I43" s="8" t="inlineStr">
        <is>
          <t>Los items y cantidades se restauran desde storage/controladores de estado</t>
        </is>
      </c>
      <c r="J43" s="10" t="str"/>
      <c r="K43" s="8" t="str"/>
      <c r="L43" s="8" t="str"/>
      <c r="M43" s="8" t="inlineStr">
        <is>
          <t>ecommerce/e2e/cart-persistence.spec.ts; ecommerce/src/state/cart-context.tsx</t>
        </is>
      </c>
      <c r="N43" s="8" t="inlineStr">
        <is>
          <t>2026-04-27</t>
        </is>
      </c>
      <c r="O43" s="8" t="inlineStr">
        <is>
          <t>Mantener</t>
        </is>
      </c>
    </row>
    <row r="44" ht="39.59999847412109" customHeight="1">
      <c r="A44" s="8" t="inlineStr">
        <is>
          <t>Ecommerce</t>
        </is>
      </c>
      <c r="B44" s="8" t="inlineStr">
        <is>
          <t>ECOM-CART-005</t>
        </is>
      </c>
      <c r="C44" s="8" t="inlineStr">
        <is>
          <t>E2E/API</t>
        </is>
      </c>
      <c r="D44" s="8" t="inlineStr">
        <is>
          <t>Carrito</t>
        </is>
      </c>
      <c r="E44" s="8" t="inlineStr">
        <is>
          <t>Resolver fallback de matriz paramétrica de aberturas</t>
        </is>
      </c>
      <c r="F44" s="8" t="inlineStr">
        <is>
          <t>E2E/API</t>
        </is>
      </c>
      <c r="G44" s="8" t="inlineStr">
        <is>
          <t>Producto paramétrico sin matriz explícita</t>
        </is>
      </c>
      <c r="H44" s="8" t="inlineStr">
        <is>
          <t>Agregar al carrito desde listados o detalle</t>
        </is>
      </c>
      <c r="I44" s="8" t="inlineStr">
        <is>
          <t>El sistema usa la matriz local canónica de aberturas y no deja el item pelado</t>
        </is>
      </c>
      <c r="J44" s="10" t="str"/>
      <c r="K44" s="8" t="str"/>
      <c r="L44" s="8" t="str"/>
      <c r="M44" s="8" t="inlineStr">
        <is>
          <t>backend/src/storefront/storefront.service.ts</t>
        </is>
      </c>
      <c r="N44" s="8" t="inlineStr">
        <is>
          <t>2026-04-27</t>
        </is>
      </c>
      <c r="O44" s="8" t="inlineStr">
        <is>
          <t>Mantener</t>
        </is>
      </c>
    </row>
    <row r="45" ht="52.79999923706055" customHeight="1">
      <c r="A45" s="8" t="inlineStr">
        <is>
          <t>Ecommerce</t>
        </is>
      </c>
      <c r="B45" s="8" t="inlineStr">
        <is>
          <t>ECOM-CART-006</t>
        </is>
      </c>
      <c r="C45" s="8" t="inlineStr">
        <is>
          <t>UI/E2E</t>
        </is>
      </c>
      <c r="D45" s="8" t="inlineStr">
        <is>
          <t>Carrito</t>
        </is>
      </c>
      <c r="E45" s="8" t="inlineStr">
        <is>
          <t>Rechazar cantidad cero o negativa</t>
        </is>
      </c>
      <c r="F45" s="8" t="inlineStr">
        <is>
          <t>UI/E2E</t>
        </is>
      </c>
      <c r="G45" s="8" t="inlineStr">
        <is>
          <t>Carrito visible</t>
        </is>
      </c>
      <c r="H45" s="8" t="inlineStr">
        <is>
          <t>Ingresar cantidad 0 o negativa</t>
        </is>
      </c>
      <c r="I45" s="8" t="inlineStr">
        <is>
          <t>La UI impide cantidades inválidas y mantiene el subtotal estable</t>
        </is>
      </c>
      <c r="J45" s="10" t="str"/>
      <c r="K45" s="8" t="str"/>
      <c r="L45" s="8" t="str"/>
      <c r="M45" s="8" t="inlineStr">
        <is>
          <t>ecommerce/e2e/cart-invalid-quantity.spec.ts; ecommerce/src/state/cart-context.tsx</t>
        </is>
      </c>
      <c r="N45" s="8" t="inlineStr">
        <is>
          <t>2026-04-27</t>
        </is>
      </c>
      <c r="O45" s="8" t="inlineStr">
        <is>
          <t>Mantener</t>
        </is>
      </c>
    </row>
    <row r="46" ht="52.79999923706055" customHeight="1">
      <c r="A46" s="8" t="inlineStr">
        <is>
          <t>Ecommerce</t>
        </is>
      </c>
      <c r="B46" s="8" t="inlineStr">
        <is>
          <t>ECOM-CART-007</t>
        </is>
      </c>
      <c r="C46" s="8" t="inlineStr">
        <is>
          <t>UI/E2E</t>
        </is>
      </c>
      <c r="D46" s="8" t="inlineStr">
        <is>
          <t>Carrito</t>
        </is>
      </c>
      <c r="E46" s="8" t="inlineStr">
        <is>
          <t>Rechazar texto donde el carrito espera cantidad numérica</t>
        </is>
      </c>
      <c r="F46" s="8" t="inlineStr">
        <is>
          <t>UI/E2E</t>
        </is>
      </c>
      <c r="G46" s="8" t="inlineStr">
        <is>
          <t>Carrito visible</t>
        </is>
      </c>
      <c r="H46" s="8" t="inlineStr">
        <is>
          <t>Escribir letras en el contador de cantidad</t>
        </is>
      </c>
      <c r="I46" s="8" t="inlineStr">
        <is>
          <t>La validación impide que el número quede corrupto</t>
        </is>
      </c>
      <c r="J46" s="10" t="str"/>
      <c r="K46" s="8" t="str"/>
      <c r="L46" s="8" t="str"/>
      <c r="M46" s="8" t="inlineStr">
        <is>
          <t>ecommerce/e2e/cart-invalid-quantity.spec.ts; ecommerce/src/state/cart-context.tsx</t>
        </is>
      </c>
      <c r="N46" s="8" t="inlineStr">
        <is>
          <t>2026-04-27</t>
        </is>
      </c>
      <c r="O46" s="8" t="inlineStr">
        <is>
          <t>Mantener</t>
        </is>
      </c>
    </row>
    <row r="47" ht="52.79999923706055" customHeight="1">
      <c r="A47" s="8" t="inlineStr">
        <is>
          <t>Ecommerce</t>
        </is>
      </c>
      <c r="B47" s="8" t="inlineStr">
        <is>
          <t>ECOM-CHK-008</t>
        </is>
      </c>
      <c r="C47" s="8" t="inlineStr">
        <is>
          <t>UI/E2E</t>
        </is>
      </c>
      <c r="D47" s="8" t="inlineStr">
        <is>
          <t>Checkout</t>
        </is>
      </c>
      <c r="E47" s="8" t="inlineStr">
        <is>
          <t>Gestionar checkout alternativo/demostrativo si se habilita</t>
        </is>
      </c>
      <c r="F47" s="8" t="inlineStr">
        <is>
          <t>UI/E2E</t>
        </is>
      </c>
      <c r="G47" s="8" t="inlineStr">
        <is>
          <t>Configuración demo o alternativa activa</t>
        </is>
      </c>
      <c r="H47" s="8" t="inlineStr">
        <is>
          <t>Abrir checkout alternativo</t>
        </is>
      </c>
      <c r="I47" s="8" t="inlineStr">
        <is>
          <t>La UI sólo aparece si la ruta está explícitamente habilitada</t>
        </is>
      </c>
      <c r="J47" s="10" t="str"/>
      <c r="K47" s="8" t="str"/>
      <c r="L47" s="8" t="str"/>
      <c r="M47" s="8" t="inlineStr">
        <is>
          <t>ecommerce/e2e/checkout-alternative-route.spec.ts; ecommerce/src/app/checkout-alternative/page.tsx</t>
        </is>
      </c>
      <c r="N47" s="8" t="inlineStr">
        <is>
          <t>2026-04-27</t>
        </is>
      </c>
      <c r="O47" s="8" t="inlineStr">
        <is>
          <t>Mantener</t>
        </is>
      </c>
    </row>
    <row r="48" ht="39.59999847412109" customHeight="1">
      <c r="A48" s="8" t="inlineStr">
        <is>
          <t>Ecommerce</t>
        </is>
      </c>
      <c r="B48" s="8" t="inlineStr">
        <is>
          <t>ECOM-AUTH-010</t>
        </is>
      </c>
      <c r="C48" s="8" t="inlineStr">
        <is>
          <t>E2E</t>
        </is>
      </c>
      <c r="D48" s="8" t="inlineStr">
        <is>
          <t>Autenticación</t>
        </is>
      </c>
      <c r="E48" s="8" t="inlineStr">
        <is>
          <t>Recuperar contraseña por email</t>
        </is>
      </c>
      <c r="F48" s="8" t="inlineStr">
        <is>
          <t>E2E</t>
        </is>
      </c>
      <c r="G48" s="8" t="inlineStr">
        <is>
          <t>Cuenta con correo verificado</t>
        </is>
      </c>
      <c r="H48" s="8" t="inlineStr">
        <is>
          <t>Abrir forgot password y solicitar reset</t>
        </is>
      </c>
      <c r="I48" s="8" t="inlineStr">
        <is>
          <t>Se envía el enlace y el usuario puede elegir una nueva contraseña</t>
        </is>
      </c>
      <c r="J48" s="10" t="str"/>
      <c r="K48" s="8" t="str"/>
      <c r="L48" s="8" t="str"/>
      <c r="M48" s="8" t="inlineStr">
        <is>
          <t>ecommerce/e2e/auth-email.spec.ts</t>
        </is>
      </c>
      <c r="N48" s="8" t="inlineStr">
        <is>
          <t>2026-04-27</t>
        </is>
      </c>
      <c r="O48" s="8" t="inlineStr">
        <is>
          <t>Mantener</t>
        </is>
      </c>
    </row>
    <row r="49" ht="26.39999961853027" customHeight="1">
      <c r="A49" s="8" t="inlineStr">
        <is>
          <t>Ecommerce</t>
        </is>
      </c>
      <c r="B49" s="8" t="inlineStr">
        <is>
          <t>ECOM-AUTH-011</t>
        </is>
      </c>
      <c r="C49" s="8" t="inlineStr">
        <is>
          <t>UI/E2E</t>
        </is>
      </c>
      <c r="D49" s="8" t="inlineStr">
        <is>
          <t>Autenticación</t>
        </is>
      </c>
      <c r="E49" s="8" t="inlineStr">
        <is>
          <t>Rechazar login con password vacío o sólo espacios</t>
        </is>
      </c>
      <c r="F49" s="8" t="inlineStr">
        <is>
          <t>UI/E2E</t>
        </is>
      </c>
      <c r="G49" s="8" t="inlineStr">
        <is>
          <t>Modal de login visible</t>
        </is>
      </c>
      <c r="H49" s="8" t="inlineStr">
        <is>
          <t>Dejar la contraseña vacía o escribir sólo espacios</t>
        </is>
      </c>
      <c r="I49" s="8" t="inlineStr">
        <is>
          <t>El formulario bloquea el submit y muestra error de validación</t>
        </is>
      </c>
      <c r="J49" s="10" t="str"/>
      <c r="K49" s="8" t="str"/>
      <c r="L49" s="8" t="str"/>
      <c r="M49" s="8" t="inlineStr">
        <is>
          <t>ecommerce/e2e/form-validation-negative.spec.ts</t>
        </is>
      </c>
      <c r="N49" s="8" t="inlineStr">
        <is>
          <t>2026-04-27</t>
        </is>
      </c>
      <c r="O49" s="8" t="inlineStr">
        <is>
          <t>Mantener</t>
        </is>
      </c>
    </row>
    <row r="50" ht="39.59999847412109" customHeight="1">
      <c r="A50" s="8" t="inlineStr">
        <is>
          <t>Ecommerce</t>
        </is>
      </c>
      <c r="B50" s="8" t="inlineStr">
        <is>
          <t>ECOM-CHK-009</t>
        </is>
      </c>
      <c r="C50" s="8" t="inlineStr">
        <is>
          <t>UI/E2E</t>
        </is>
      </c>
      <c r="D50" s="8" t="inlineStr">
        <is>
          <t>Checkout</t>
        </is>
      </c>
      <c r="E50" s="8" t="inlineStr">
        <is>
          <t>Rechazar checkout con campos de shipping incompletos o vacíos</t>
        </is>
      </c>
      <c r="F50" s="8" t="inlineStr">
        <is>
          <t>UI/E2E</t>
        </is>
      </c>
      <c r="G50" s="8" t="inlineStr">
        <is>
          <t>Carrito con productos y sesión válida</t>
        </is>
      </c>
      <c r="H50" s="8" t="inlineStr">
        <is>
          <t>Borrar dirección, barrio o ciudad y avanzar</t>
        </is>
      </c>
      <c r="I50" s="8" t="inlineStr">
        <is>
          <t>El formulario no continúa hasta completar todos los datos obligatorios</t>
        </is>
      </c>
      <c r="J50" s="10" t="str"/>
      <c r="K50" s="8" t="str"/>
      <c r="L50" s="8" t="str"/>
      <c r="M50" s="8" t="inlineStr">
        <is>
          <t>ecommerce/e2e/form-validation-negative.spec.ts</t>
        </is>
      </c>
      <c r="N50" s="8" t="inlineStr">
        <is>
          <t>2026-04-27</t>
        </is>
      </c>
      <c r="O50" s="8" t="inlineStr">
        <is>
          <t>Mantener</t>
        </is>
      </c>
    </row>
    <row r="51" ht="39.59999847412109" customHeight="1">
      <c r="A51" s="8" t="inlineStr">
        <is>
          <t>Ecommerce</t>
        </is>
      </c>
      <c r="B51" s="8" t="inlineStr">
        <is>
          <t>ECOM-CHK-010</t>
        </is>
      </c>
      <c r="C51" s="8" t="inlineStr">
        <is>
          <t>UI/E2E</t>
        </is>
      </c>
      <c r="D51" s="8" t="inlineStr">
        <is>
          <t>Checkout</t>
        </is>
      </c>
      <c r="E51" s="8" t="inlineStr">
        <is>
          <t>Rechazar checkout con postal code o barrio inválido</t>
        </is>
      </c>
      <c r="F51" s="8" t="inlineStr">
        <is>
          <t>UI/E2E</t>
        </is>
      </c>
      <c r="G51" s="8" t="inlineStr">
        <is>
          <t>Checkout abierto</t>
        </is>
      </c>
      <c r="H51" s="8" t="inlineStr">
        <is>
          <t>Ingresar un dato inválido en shipping</t>
        </is>
      </c>
      <c r="I51" s="8" t="inlineStr">
        <is>
          <t>La validación evita persistir una dirección estructuralmente inválida</t>
        </is>
      </c>
      <c r="J51" s="10" t="str"/>
      <c r="K51" s="8" t="str"/>
      <c r="L51" s="8" t="str"/>
      <c r="M51" s="8" t="inlineStr">
        <is>
          <t>ecommerce/e2e/form-validation-negative.spec.ts</t>
        </is>
      </c>
      <c r="N51" s="8" t="inlineStr">
        <is>
          <t>2026-04-27</t>
        </is>
      </c>
      <c r="O51" s="8" t="inlineStr">
        <is>
          <t>Mantener</t>
        </is>
      </c>
    </row>
    <row r="52" ht="66" customHeight="1">
      <c r="A52" s="8" t="inlineStr">
        <is>
          <t>Ecommerce</t>
        </is>
      </c>
      <c r="B52" s="8" t="inlineStr">
        <is>
          <t>ECOM-PAY-006</t>
        </is>
      </c>
      <c r="C52" s="8" t="inlineStr">
        <is>
          <t>UI</t>
        </is>
      </c>
      <c r="D52" s="8" t="inlineStr">
        <is>
          <t>Pagos</t>
        </is>
      </c>
      <c r="E52" s="8" t="inlineStr">
        <is>
          <t>Rechazar Mercado Pago con email faltante o malformado</t>
        </is>
      </c>
      <c r="F52" s="8" t="inlineStr">
        <is>
          <t>UI</t>
        </is>
      </c>
      <c r="G52" s="8" t="inlineStr">
        <is>
          <t>Checkout con Mercado Pago activo</t>
        </is>
      </c>
      <c r="H52" s="8" t="inlineStr">
        <is>
          <t>Completar el pago con email vacío o inválido</t>
        </is>
      </c>
      <c r="I52" s="8" t="inlineStr">
        <is>
          <t>La interfaz corta el flujo y muestra el error esperado</t>
        </is>
      </c>
      <c r="J52" s="10" t="str"/>
      <c r="K52" s="8" t="str"/>
      <c r="L52" s="8" t="str"/>
      <c r="M52" s="8" t="inlineStr">
        <is>
          <t>backend/src/storefront/dto/mercadopago-charge.dto.ts; backend/src/storefront/payments/__tests__/mercadopago-charge.dto.spec.ts</t>
        </is>
      </c>
      <c r="N52" s="8" t="inlineStr">
        <is>
          <t>2026-04-27</t>
        </is>
      </c>
      <c r="O52" s="8" t="inlineStr">
        <is>
          <t>Mantener</t>
        </is>
      </c>
    </row>
    <row r="53" ht="66" customHeight="1">
      <c r="A53" s="8" t="inlineStr">
        <is>
          <t>Ecommerce</t>
        </is>
      </c>
      <c r="B53" s="8" t="inlineStr">
        <is>
          <t>ECOM-PAY-007</t>
        </is>
      </c>
      <c r="C53" s="8" t="inlineStr">
        <is>
          <t>API/UI</t>
        </is>
      </c>
      <c r="D53" s="8" t="inlineStr">
        <is>
          <t>Pagos</t>
        </is>
      </c>
      <c r="E53" s="8" t="inlineStr">
        <is>
          <t>Bloquear cuotas o monto fuera de rango</t>
        </is>
      </c>
      <c r="F53" s="8" t="inlineStr">
        <is>
          <t>API/UI</t>
        </is>
      </c>
      <c r="G53" s="8" t="inlineStr">
        <is>
          <t>Config de cuotas disponible</t>
        </is>
      </c>
      <c r="H53" s="8" t="inlineStr">
        <is>
          <t>Forzar cuotas o monto inválidos</t>
        </is>
      </c>
      <c r="I53" s="8" t="inlineStr">
        <is>
          <t>El cálculo se rechaza de forma explícita</t>
        </is>
      </c>
      <c r="J53" s="10" t="str"/>
      <c r="K53" s="8" t="str"/>
      <c r="L53" s="8" t="str"/>
      <c r="M53" s="8" t="inlineStr">
        <is>
          <t>backend/src/storefront/dto/mercadopago-charge.dto.ts; backend/src/storefront/payments/__tests__/mercadopago-charge.dto.spec.ts</t>
        </is>
      </c>
      <c r="N53" s="8" t="inlineStr">
        <is>
          <t>2026-04-27</t>
        </is>
      </c>
      <c r="O53" s="8" t="inlineStr">
        <is>
          <t>Mantener</t>
        </is>
      </c>
    </row>
    <row r="54" ht="39.59999847412109" customHeight="1">
      <c r="A54" s="8" t="inlineStr">
        <is>
          <t>Ecommerce</t>
        </is>
      </c>
      <c r="B54" s="8" t="inlineStr">
        <is>
          <t>ECOM-PROD-004</t>
        </is>
      </c>
      <c r="C54" s="8" t="inlineStr">
        <is>
          <t>UI</t>
        </is>
      </c>
      <c r="D54" s="8" t="inlineStr">
        <is>
          <t>Producto</t>
        </is>
      </c>
      <c r="E54" s="8" t="inlineStr">
        <is>
          <t>Buscar producto por slug o texto</t>
        </is>
      </c>
      <c r="F54" s="8" t="inlineStr">
        <is>
          <t>UI</t>
        </is>
      </c>
      <c r="G54" s="8" t="inlineStr">
        <is>
          <t>Catálogo indexado</t>
        </is>
      </c>
      <c r="H54" s="8" t="inlineStr">
        <is>
          <t>Usar buscador o ruta de búsqueda</t>
        </is>
      </c>
      <c r="I54" s="8" t="inlineStr">
        <is>
          <t>El usuario llega al producto correcto o a resultados relevantes</t>
        </is>
      </c>
      <c r="J54" s="10" t="str"/>
      <c r="K54" s="8" t="str"/>
      <c r="L54" s="8" t="str"/>
      <c r="M54" s="8" t="inlineStr">
        <is>
          <t>backend/src/storefront/__tests__/storefront.service.spec.ts</t>
        </is>
      </c>
      <c r="N54" s="8" t="inlineStr">
        <is>
          <t>2026-04-27</t>
        </is>
      </c>
      <c r="O54" s="8" t="inlineStr">
        <is>
          <t>Mantener</t>
        </is>
      </c>
    </row>
    <row r="55" ht="26.39999961853027" customHeight="1">
      <c r="A55" s="8" t="inlineStr">
        <is>
          <t>Ecommerce</t>
        </is>
      </c>
      <c r="B55" s="8" t="inlineStr">
        <is>
          <t>ECOM-PROD-005</t>
        </is>
      </c>
      <c r="C55" s="8" t="inlineStr">
        <is>
          <t>UI/API</t>
        </is>
      </c>
      <c r="D55" s="8" t="inlineStr">
        <is>
          <t>Producto</t>
        </is>
      </c>
      <c r="E55" s="8" t="inlineStr">
        <is>
          <t>Ver recomendaciones relacionadas</t>
        </is>
      </c>
      <c r="F55" s="8" t="inlineStr">
        <is>
          <t>UI/API</t>
        </is>
      </c>
      <c r="G55" s="8" t="inlineStr">
        <is>
          <t>Producto con relacionados publicados</t>
        </is>
      </c>
      <c r="H55" s="8" t="inlineStr">
        <is>
          <t>Abrir detalle de producto</t>
        </is>
      </c>
      <c r="I55" s="8" t="inlineStr">
        <is>
          <t>Se muestran sugeridos coherentes con el catálogo</t>
        </is>
      </c>
      <c r="J55" s="10" t="str"/>
      <c r="K55" s="8" t="str"/>
      <c r="L55" s="8" t="str"/>
      <c r="M55" s="8" t="inlineStr">
        <is>
          <t>backend/src/storefront/__tests__/storefront.service.spec.ts</t>
        </is>
      </c>
      <c r="N55" s="8" t="inlineStr">
        <is>
          <t>2026-04-27</t>
        </is>
      </c>
      <c r="O55" s="8" t="inlineStr">
        <is>
          <t>Mantener</t>
        </is>
      </c>
    </row>
    <row r="56" ht="26.39999961853027" customHeight="1">
      <c r="A56" s="8" t="inlineStr">
        <is>
          <t>Admin</t>
        </is>
      </c>
      <c r="B56" s="8" t="inlineStr">
        <is>
          <t>ADMIN-AUTH-001</t>
        </is>
      </c>
      <c r="C56" s="8" t="inlineStr">
        <is>
          <t>E2E/UI</t>
        </is>
      </c>
      <c r="D56" s="8" t="inlineStr">
        <is>
          <t>Acceso</t>
        </is>
      </c>
      <c r="E56" s="8" t="inlineStr">
        <is>
          <t>Inicio de sesión de administrador</t>
        </is>
      </c>
      <c r="F56" s="8" t="inlineStr">
        <is>
          <t>E2E/UI</t>
        </is>
      </c>
      <c r="G56" s="8" t="inlineStr">
        <is>
          <t>Cuenta superadmin semilla disponible</t>
        </is>
      </c>
      <c r="H56" s="8" t="inlineStr">
        <is>
          <t>Abrir sign-in y autenticar</t>
        </is>
      </c>
      <c r="I56" s="8" t="inlineStr">
        <is>
          <t>El usuario entra al panel y ve las rutas permitidas por rol</t>
        </is>
      </c>
      <c r="J56" s="10" t="str"/>
      <c r="K56" s="8" t="str"/>
      <c r="L56" s="8" t="str"/>
      <c r="M56" s="8" t="inlineStr">
        <is>
          <t>ecommerce/e2e/admin-signin-smoke.spec.ts</t>
        </is>
      </c>
      <c r="N56" s="8" t="inlineStr">
        <is>
          <t>2026-04-27</t>
        </is>
      </c>
      <c r="O56" s="8" t="inlineStr">
        <is>
          <t>Mantener</t>
        </is>
      </c>
    </row>
    <row r="57" ht="66" customHeight="1">
      <c r="A57" s="8" t="inlineStr">
        <is>
          <t>Admin</t>
        </is>
      </c>
      <c r="B57" s="8" t="inlineStr">
        <is>
          <t>ADMIN-RBAC-001</t>
        </is>
      </c>
      <c r="C57" s="8" t="inlineStr">
        <is>
          <t>UI/E2E</t>
        </is>
      </c>
      <c r="D57" s="8" t="inlineStr">
        <is>
          <t>RBAC</t>
        </is>
      </c>
      <c r="E57" s="8" t="inlineStr">
        <is>
          <t>Navegación restringida por rol</t>
        </is>
      </c>
      <c r="F57" s="8" t="inlineStr">
        <is>
          <t>UI/E2E</t>
        </is>
      </c>
      <c r="G57" s="8" t="inlineStr">
        <is>
          <t>Usuario con rol no superadmin</t>
        </is>
      </c>
      <c r="H57" s="8" t="inlineStr">
        <is>
          <t>Abrir navbar y lateral</t>
        </is>
      </c>
      <c r="I57" s="8" t="inlineStr">
        <is>
          <t>Sólo aparecen módulos y acciones permitidas por el rol</t>
        </is>
      </c>
      <c r="J57" s="10" t="str"/>
      <c r="K57" s="8" t="str"/>
      <c r="L57" s="8" t="str"/>
      <c r="M57" s="8" t="inlineStr">
        <is>
          <t>ecommerce/e2e/admin-rbac-navigation.spec.ts; frontend/src/configs/navigation.config/__tests__/apps.navigation.config.spec.ts</t>
        </is>
      </c>
      <c r="N57" s="8" t="inlineStr">
        <is>
          <t>2026-04-27</t>
        </is>
      </c>
      <c r="O57" s="8" t="inlineStr">
        <is>
          <t>Mantener</t>
        </is>
      </c>
    </row>
    <row r="58" ht="26.39999961853027" customHeight="1">
      <c r="A58" s="8" t="inlineStr">
        <is>
          <t>Admin</t>
        </is>
      </c>
      <c r="B58" s="8" t="inlineStr">
        <is>
          <t>ADMIN-DASH-001</t>
        </is>
      </c>
      <c r="C58" s="8" t="inlineStr">
        <is>
          <t>UI</t>
        </is>
      </c>
      <c r="D58" s="8" t="inlineStr">
        <is>
          <t>Dashboard</t>
        </is>
      </c>
      <c r="E58" s="8" t="inlineStr">
        <is>
          <t>Cargar resumen operativo</t>
        </is>
      </c>
      <c r="F58" s="8" t="inlineStr">
        <is>
          <t>UI</t>
        </is>
      </c>
      <c r="G58" s="8" t="inlineStr">
        <is>
          <t>Admin autenticado</t>
        </is>
      </c>
      <c r="H58" s="8" t="inlineStr">
        <is>
          <t>Entrar al dashboard</t>
        </is>
      </c>
      <c r="I58" s="8" t="inlineStr">
        <is>
          <t>Se visualizan KPIs y widgets de operación</t>
        </is>
      </c>
      <c r="J58" s="10" t="str"/>
      <c r="K58" s="8" t="str"/>
      <c r="L58" s="8" t="str"/>
      <c r="M58" s="8" t="inlineStr">
        <is>
          <t>backend/src/accounting/__tests__/accounting.controller.spec.ts</t>
        </is>
      </c>
      <c r="N58" s="8" t="inlineStr">
        <is>
          <t>2026-04-27</t>
        </is>
      </c>
      <c r="O58" s="8" t="inlineStr">
        <is>
          <t>Mantener</t>
        </is>
      </c>
    </row>
    <row r="59" ht="26.39999961853027" customHeight="1">
      <c r="A59" s="8" t="inlineStr">
        <is>
          <t>Admin</t>
        </is>
      </c>
      <c r="B59" s="8" t="inlineStr">
        <is>
          <t>ADMIN-CLT-001</t>
        </is>
      </c>
      <c r="C59" s="8" t="inlineStr">
        <is>
          <t>UI/API</t>
        </is>
      </c>
      <c r="D59" s="8" t="inlineStr">
        <is>
          <t>Clientes</t>
        </is>
      </c>
      <c r="E59" s="8" t="inlineStr">
        <is>
          <t>Listar clientes del ecommerce</t>
        </is>
      </c>
      <c r="F59" s="8" t="inlineStr">
        <is>
          <t>UI/API</t>
        </is>
      </c>
      <c r="G59" s="8" t="inlineStr">
        <is>
          <t>Base activa con pedidos/clientes</t>
        </is>
      </c>
      <c r="H59" s="8" t="inlineStr">
        <is>
          <t>Abrir módulo de clientes</t>
        </is>
      </c>
      <c r="I59" s="8" t="inlineStr">
        <is>
          <t>La grilla muestra clientes reales con filtros y detalle</t>
        </is>
      </c>
      <c r="J59" s="10" t="str"/>
      <c r="K59" s="8" t="str"/>
      <c r="L59" s="8" t="str"/>
      <c r="M59" s="8" t="inlineStr">
        <is>
          <t>backend/src/customers/__tests__/customers.controller.spec.ts</t>
        </is>
      </c>
      <c r="N59" s="8" t="inlineStr">
        <is>
          <t>2026-04-27</t>
        </is>
      </c>
      <c r="O59" s="8" t="inlineStr">
        <is>
          <t>Mantener</t>
        </is>
      </c>
    </row>
    <row r="60" ht="26.39999961853027" customHeight="1">
      <c r="A60" s="8" t="inlineStr">
        <is>
          <t>Admin</t>
        </is>
      </c>
      <c r="B60" s="8" t="inlineStr">
        <is>
          <t>ADMIN-ORD-001</t>
        </is>
      </c>
      <c r="C60" s="8" t="inlineStr">
        <is>
          <t>E2E</t>
        </is>
      </c>
      <c r="D60" s="8" t="inlineStr">
        <is>
          <t>Pedidos</t>
        </is>
      </c>
      <c r="E60" s="8" t="inlineStr">
        <is>
          <t>Listar pedidos y abrir detalle</t>
        </is>
      </c>
      <c r="F60" s="8" t="inlineStr">
        <is>
          <t>E2E</t>
        </is>
      </c>
      <c r="G60" s="8" t="inlineStr">
        <is>
          <t>Pedido creado desde storefront</t>
        </is>
      </c>
      <c r="H60" s="8" t="inlineStr">
        <is>
          <t>Abrir orders y entrar a detalle</t>
        </is>
      </c>
      <c r="I60" s="8" t="inlineStr">
        <is>
          <t>La pantalla muestra UUID, estado, cliente y timeline</t>
        </is>
      </c>
      <c r="J60" s="10" t="str"/>
      <c r="K60" s="8" t="str"/>
      <c r="L60" s="8" t="str"/>
      <c r="M60" s="8" t="inlineStr">
        <is>
          <t>ecommerce/e2e/admin-order-detail-cross-project.spec.ts</t>
        </is>
      </c>
      <c r="N60" s="8" t="inlineStr">
        <is>
          <t>2026-04-27</t>
        </is>
      </c>
      <c r="O60" s="8" t="inlineStr">
        <is>
          <t>Mantener</t>
        </is>
      </c>
    </row>
    <row r="61" ht="26.39999961853027" customHeight="1">
      <c r="A61" s="8" t="inlineStr">
        <is>
          <t>Admin</t>
        </is>
      </c>
      <c r="B61" s="8" t="inlineStr">
        <is>
          <t>ADMIN-PAY-001</t>
        </is>
      </c>
      <c r="C61" s="8" t="inlineStr">
        <is>
          <t>UI/API</t>
        </is>
      </c>
      <c r="D61" s="8" t="inlineStr">
        <is>
          <t>Pagos</t>
        </is>
      </c>
      <c r="E61" s="8" t="inlineStr">
        <is>
          <t>Ver pagos registrados y su estado</t>
        </is>
      </c>
      <c r="F61" s="8" t="inlineStr">
        <is>
          <t>UI/API</t>
        </is>
      </c>
      <c r="G61" s="8" t="inlineStr">
        <is>
          <t>Pedidos con pagos creados</t>
        </is>
      </c>
      <c r="H61" s="8" t="inlineStr">
        <is>
          <t>Abrir vista de pagos</t>
        </is>
      </c>
      <c r="I61" s="8" t="inlineStr">
        <is>
          <t>Se muestran montos, provider, estado y referencia</t>
        </is>
      </c>
      <c r="J61" s="10" t="str"/>
      <c r="K61" s="8" t="str"/>
      <c r="L61" s="8" t="str"/>
      <c r="M61" s="8" t="inlineStr">
        <is>
          <t>backend/src/accounting/__tests__/payments.service.spec.ts</t>
        </is>
      </c>
      <c r="N61" s="8" t="inlineStr">
        <is>
          <t>2026-04-27</t>
        </is>
      </c>
      <c r="O61" s="8" t="inlineStr">
        <is>
          <t>Mantener</t>
        </is>
      </c>
    </row>
    <row r="62" ht="26.39999961853027" customHeight="1">
      <c r="A62" s="8" t="inlineStr">
        <is>
          <t>Admin</t>
        </is>
      </c>
      <c r="B62" s="8" t="inlineStr">
        <is>
          <t>ADMIN-PROD-001</t>
        </is>
      </c>
      <c r="C62" s="8" t="inlineStr">
        <is>
          <t>UI</t>
        </is>
      </c>
      <c r="D62" s="8" t="inlineStr">
        <is>
          <t>Productos</t>
        </is>
      </c>
      <c r="E62" s="8" t="inlineStr">
        <is>
          <t>Listar productos publicados</t>
        </is>
      </c>
      <c r="F62" s="8" t="inlineStr">
        <is>
          <t>UI</t>
        </is>
      </c>
      <c r="G62" s="8" t="inlineStr">
        <is>
          <t>Catálogo activo</t>
        </is>
      </c>
      <c r="H62" s="8" t="inlineStr">
        <is>
          <t>Abrir módulo de productos</t>
        </is>
      </c>
      <c r="I62" s="8" t="inlineStr">
        <is>
          <t>La tabla muestra catálogo real y estado de publicación</t>
        </is>
      </c>
      <c r="J62" s="10" t="str"/>
      <c r="K62" s="8" t="str"/>
      <c r="L62" s="8" t="str"/>
      <c r="M62" s="8" t="inlineStr">
        <is>
          <t>ecommerce/e2e/admin-product-list.spec.ts</t>
        </is>
      </c>
      <c r="N62" s="8" t="inlineStr">
        <is>
          <t>2026-04-27</t>
        </is>
      </c>
      <c r="O62" s="8" t="inlineStr">
        <is>
          <t>Mantener</t>
        </is>
      </c>
    </row>
    <row r="63" ht="26.39999961853027" customHeight="1">
      <c r="A63" s="8" t="inlineStr">
        <is>
          <t>Admin</t>
        </is>
      </c>
      <c r="B63" s="8" t="inlineStr">
        <is>
          <t>ADMIN-PROD-002</t>
        </is>
      </c>
      <c r="C63" s="8" t="inlineStr">
        <is>
          <t>UI/API</t>
        </is>
      </c>
      <c r="D63" s="8" t="inlineStr">
        <is>
          <t>Productos</t>
        </is>
      </c>
      <c r="E63" s="8" t="inlineStr">
        <is>
          <t>Crear o editar producto</t>
        </is>
      </c>
      <c r="F63" s="8" t="inlineStr">
        <is>
          <t>UI/API</t>
        </is>
      </c>
      <c r="G63" s="8" t="inlineStr">
        <is>
          <t>Permisos de edición habilitados</t>
        </is>
      </c>
      <c r="H63" s="8" t="inlineStr">
        <is>
          <t>Abrir formulario y guardar</t>
        </is>
      </c>
      <c r="I63" s="8" t="inlineStr">
        <is>
          <t>La edición persiste y reindexa lo necesario</t>
        </is>
      </c>
      <c r="J63" s="10" t="str"/>
      <c r="K63" s="8" t="str"/>
      <c r="L63" s="8" t="str"/>
      <c r="M63" s="8" t="inlineStr">
        <is>
          <t>backend/src/sales/sales.controller.spec.ts</t>
        </is>
      </c>
      <c r="N63" s="8" t="inlineStr">
        <is>
          <t>2026-04-27</t>
        </is>
      </c>
      <c r="O63" s="8" t="inlineStr">
        <is>
          <t>Mantener</t>
        </is>
      </c>
    </row>
    <row r="64" ht="26.39999961853027" customHeight="1">
      <c r="A64" s="8" t="inlineStr">
        <is>
          <t>Admin</t>
        </is>
      </c>
      <c r="B64" s="8" t="inlineStr">
        <is>
          <t>ADMIN-CMS-001</t>
        </is>
      </c>
      <c r="C64" s="8" t="inlineStr">
        <is>
          <t>UI</t>
        </is>
      </c>
      <c r="D64" s="8" t="inlineStr">
        <is>
          <t>CMS</t>
        </is>
      </c>
      <c r="E64" s="8" t="inlineStr">
        <is>
          <t>Supervisar superficies comerciales y contenido SEO</t>
        </is>
      </c>
      <c r="F64" s="8" t="inlineStr">
        <is>
          <t>UI</t>
        </is>
      </c>
      <c r="G64" s="8" t="inlineStr">
        <is>
          <t>Contenido del sitio cargado</t>
        </is>
      </c>
      <c r="H64" s="8" t="inlineStr">
        <is>
          <t>Abrir CMS y páginas comerciales</t>
        </is>
      </c>
      <c r="I64" s="8" t="inlineStr">
        <is>
          <t>La UI permite editar contenido y mantener el lenguaje SEO</t>
        </is>
      </c>
      <c r="J64" s="10" t="str"/>
      <c r="K64" s="8" t="str"/>
      <c r="L64" s="8" t="str"/>
      <c r="M64" s="8" t="inlineStr">
        <is>
          <t>ecommerce/e2e/admin-commercial-surfaces.spec.ts</t>
        </is>
      </c>
      <c r="N64" s="8" t="inlineStr">
        <is>
          <t>2026-04-27</t>
        </is>
      </c>
      <c r="O64" s="8" t="inlineStr">
        <is>
          <t>Mantener</t>
        </is>
      </c>
    </row>
    <row r="65" ht="39.59999847412109" customHeight="1">
      <c r="A65" s="8" t="inlineStr">
        <is>
          <t>Admin</t>
        </is>
      </c>
      <c r="B65" s="8" t="inlineStr">
        <is>
          <t>ADMIN-CMS-002</t>
        </is>
      </c>
      <c r="C65" s="8" t="inlineStr">
        <is>
          <t>UI/E2E</t>
        </is>
      </c>
      <c r="D65" s="8" t="inlineStr">
        <is>
          <t>CMS</t>
        </is>
      </c>
      <c r="E65" s="8" t="inlineStr">
        <is>
          <t>Editar stories y home highlights</t>
        </is>
      </c>
      <c r="F65" s="8" t="inlineStr">
        <is>
          <t>UI/E2E</t>
        </is>
      </c>
      <c r="G65" s="8" t="inlineStr">
        <is>
          <t>Home con historias publicadas</t>
        </is>
      </c>
      <c r="H65" s="8" t="inlineStr">
        <is>
          <t>Abrir el CMS home</t>
        </is>
      </c>
      <c r="I65" s="8" t="inlineStr">
        <is>
          <t>Las historias y bloques editoriales quedan debajo o sobre el carrusel según el layout</t>
        </is>
      </c>
      <c r="J65" s="10" t="str"/>
      <c r="K65" s="8" t="str"/>
      <c r="L65" s="8" t="str"/>
      <c r="M65" s="8" t="inlineStr">
        <is>
          <t>ecommerce/e2e/home-stories.spec.ts; docs/PROJECT_STATUS.md</t>
        </is>
      </c>
      <c r="N65" s="8" t="inlineStr">
        <is>
          <t>2026-04-27</t>
        </is>
      </c>
      <c r="O65" s="8" t="inlineStr">
        <is>
          <t>Mantener</t>
        </is>
      </c>
    </row>
    <row r="66" ht="39.59999847412109" customHeight="1">
      <c r="A66" s="8" t="inlineStr">
        <is>
          <t>Admin</t>
        </is>
      </c>
      <c r="B66" s="8" t="inlineStr">
        <is>
          <t>ADMIN-SET-001</t>
        </is>
      </c>
      <c r="C66" s="8" t="inlineStr">
        <is>
          <t>UI/API</t>
        </is>
      </c>
      <c r="D66" s="8" t="inlineStr">
        <is>
          <t>Configuración</t>
        </is>
      </c>
      <c r="E66" s="8" t="inlineStr">
        <is>
          <t>Email config leída desde DB segura</t>
        </is>
      </c>
      <c r="F66" s="8" t="inlineStr">
        <is>
          <t>UI/API</t>
        </is>
      </c>
      <c r="G66" s="8" t="inlineStr">
        <is>
          <t>SecureConfig poblado</t>
        </is>
      </c>
      <c r="H66" s="8" t="inlineStr">
        <is>
          <t>Abrir settings/email/config</t>
        </is>
      </c>
      <c r="I66" s="8" t="inlineStr">
        <is>
          <t>Se muestran puerto, host, usuario y credenciales como dato seguro desde base</t>
        </is>
      </c>
      <c r="J66" s="10" t="str"/>
      <c r="K66" s="8" t="str"/>
      <c r="L66" s="8" t="str"/>
      <c r="M66" s="8" t="inlineStr">
        <is>
          <t>docs/PROJECT_STATUS.md; frontend/src/views/settings</t>
        </is>
      </c>
      <c r="N66" s="8" t="inlineStr">
        <is>
          <t>2026-04-27</t>
        </is>
      </c>
      <c r="O66" s="8" t="inlineStr">
        <is>
          <t>Mantener</t>
        </is>
      </c>
    </row>
    <row r="67" ht="39.59999847412109" customHeight="1">
      <c r="A67" s="8" t="inlineStr">
        <is>
          <t>Admin</t>
        </is>
      </c>
      <c r="B67" s="8" t="inlineStr">
        <is>
          <t>ADMIN-SET-002</t>
        </is>
      </c>
      <c r="C67" s="8" t="inlineStr">
        <is>
          <t>UI/API</t>
        </is>
      </c>
      <c r="D67" s="8" t="inlineStr">
        <is>
          <t>Configuración</t>
        </is>
      </c>
      <c r="E67" s="8" t="inlineStr">
        <is>
          <t>Mercado Pago config leída desde DB segura</t>
        </is>
      </c>
      <c r="F67" s="8" t="inlineStr">
        <is>
          <t>UI/API</t>
        </is>
      </c>
      <c r="G67" s="8" t="inlineStr">
        <is>
          <t>SecureConfig con provider vigente</t>
        </is>
      </c>
      <c r="H67" s="8" t="inlineStr">
        <is>
          <t>Abrir settings/email/config</t>
        </is>
      </c>
      <c r="I67" s="8" t="inlineStr">
        <is>
          <t>Se muestran public key, access token y país desde DB</t>
        </is>
      </c>
      <c r="J67" s="10" t="str"/>
      <c r="K67" s="8" t="str"/>
      <c r="L67" s="8" t="str"/>
      <c r="M67" s="8" t="inlineStr">
        <is>
          <t>docs/PROJECT_STATUS.md; frontend/src/views/settings/GoogleSettings/GoogleSettings.tsx</t>
        </is>
      </c>
      <c r="N67" s="8" t="inlineStr">
        <is>
          <t>2026-04-27</t>
        </is>
      </c>
      <c r="O67" s="8" t="inlineStr">
        <is>
          <t>Mantener</t>
        </is>
      </c>
    </row>
    <row r="68" ht="39.59999847412109" customHeight="1">
      <c r="A68" s="8" t="inlineStr">
        <is>
          <t>Admin</t>
        </is>
      </c>
      <c r="B68" s="8" t="inlineStr">
        <is>
          <t>ADMIN-SET-003</t>
        </is>
      </c>
      <c r="C68" s="8" t="inlineStr">
        <is>
          <t>UI/API</t>
        </is>
      </c>
      <c r="D68" s="8" t="inlineStr">
        <is>
          <t>Configuración</t>
        </is>
      </c>
      <c r="E68" s="8" t="inlineStr">
        <is>
          <t>Google sign-in y reCAPTCHA activos</t>
        </is>
      </c>
      <c r="F68" s="8" t="inlineStr">
        <is>
          <t>UI/API</t>
        </is>
      </c>
      <c r="G68" s="8" t="inlineStr">
        <is>
          <t>OAuth y reCAPTCHA configurados</t>
        </is>
      </c>
      <c r="H68" s="8" t="inlineStr">
        <is>
          <t>Abrir settings de integraciones</t>
        </is>
      </c>
      <c r="I68" s="8" t="inlineStr">
        <is>
          <t>La opción se activa con config segura y no depende sólo de env</t>
        </is>
      </c>
      <c r="J68" s="10" t="str"/>
      <c r="K68" s="8" t="str"/>
      <c r="L68" s="8" t="str"/>
      <c r="M68" s="8" t="inlineStr">
        <is>
          <t>docs/PROJECT_STATUS.md; frontend/src/views/settings/GoogleSettings/GoogleSettings.tsx</t>
        </is>
      </c>
      <c r="N68" s="8" t="inlineStr">
        <is>
          <t>2026-04-27</t>
        </is>
      </c>
      <c r="O68" s="8" t="inlineStr">
        <is>
          <t>Mantener</t>
        </is>
      </c>
    </row>
    <row r="69" ht="26.39999961853027" customHeight="1">
      <c r="A69" s="8" t="inlineStr">
        <is>
          <t>Admin</t>
        </is>
      </c>
      <c r="B69" s="8" t="inlineStr">
        <is>
          <t>ADMIN-SET-004</t>
        </is>
      </c>
      <c r="C69" s="8" t="inlineStr">
        <is>
          <t>UI/API</t>
        </is>
      </c>
      <c r="D69" s="8" t="inlineStr">
        <is>
          <t>Canales</t>
        </is>
      </c>
      <c r="E69" s="8" t="inlineStr">
        <is>
          <t>Editar email/meta/whatsapp desde settings de canales</t>
        </is>
      </c>
      <c r="F69" s="8" t="inlineStr">
        <is>
          <t>UI/API</t>
        </is>
      </c>
      <c r="G69" s="8" t="inlineStr">
        <is>
          <t>ChannelControl habilitado</t>
        </is>
      </c>
      <c r="H69" s="8" t="inlineStr">
        <is>
          <t>Abrir settings/channels</t>
        </is>
      </c>
      <c r="I69" s="8" t="inlineStr">
        <is>
          <t>Los cambios se persisten y reflejan al chat platform</t>
        </is>
      </c>
      <c r="J69" s="10" t="str"/>
      <c r="K69" s="8" t="str"/>
      <c r="L69" s="8" t="str"/>
      <c r="M69" s="8" t="inlineStr">
        <is>
          <t>ai-platform/backend/src/modules/channel-control/*</t>
        </is>
      </c>
      <c r="N69" s="8" t="inlineStr">
        <is>
          <t>2026-04-27</t>
        </is>
      </c>
      <c r="O69" s="8" t="inlineStr">
        <is>
          <t>Mantener</t>
        </is>
      </c>
    </row>
    <row r="70" ht="52.79999923706055" customHeight="1">
      <c r="A70" s="8" t="inlineStr">
        <is>
          <t>Admin</t>
        </is>
      </c>
      <c r="B70" s="8" t="inlineStr">
        <is>
          <t>ADMIN-SET-005</t>
        </is>
      </c>
      <c r="C70" s="8" t="inlineStr">
        <is>
          <t>UI/API</t>
        </is>
      </c>
      <c r="D70" s="8" t="inlineStr">
        <is>
          <t>Email</t>
        </is>
      </c>
      <c r="E70" s="8" t="inlineStr">
        <is>
          <t>Configurar inbox y delivery de email desde DB segura</t>
        </is>
      </c>
      <c r="F70" s="8" t="inlineStr">
        <is>
          <t>UI/API</t>
        </is>
      </c>
      <c r="G70" s="8" t="inlineStr">
        <is>
          <t>SecureConfig y channel settings activos</t>
        </is>
      </c>
      <c r="H70" s="8" t="inlineStr">
        <is>
          <t>Abrir email/config</t>
        </is>
      </c>
      <c r="I70" s="8" t="inlineStr">
        <is>
          <t>Se ven host, puerto, usuario, contraseña y ruteo desde DB</t>
        </is>
      </c>
      <c r="J70" s="10" t="str"/>
      <c r="K70" s="8" t="str"/>
      <c r="L70" s="8" t="str"/>
      <c r="M70" s="8" t="inlineStr">
        <is>
          <t>docs/PROJECT_STATUS.md; ai-platform/backend/src/modules/channel-control/channel-settings.service.ts</t>
        </is>
      </c>
      <c r="N70" s="8" t="inlineStr">
        <is>
          <t>2026-04-27</t>
        </is>
      </c>
      <c r="O70" s="8" t="inlineStr">
        <is>
          <t>Mantener</t>
        </is>
      </c>
    </row>
    <row r="71" ht="39.59999847412109" customHeight="1">
      <c r="A71" s="8" t="inlineStr">
        <is>
          <t>Admin</t>
        </is>
      </c>
      <c r="B71" s="8" t="inlineStr">
        <is>
          <t>ADMIN-SET-006</t>
        </is>
      </c>
      <c r="C71" s="8" t="inlineStr">
        <is>
          <t>UI</t>
        </is>
      </c>
      <c r="D71" s="8" t="inlineStr">
        <is>
          <t>Menú</t>
        </is>
      </c>
      <c r="E71" s="8" t="inlineStr">
        <is>
          <t>Mostrar íconos y traducción en CMS y Channels</t>
        </is>
      </c>
      <c r="F71" s="8" t="inlineStr">
        <is>
          <t>UI</t>
        </is>
      </c>
      <c r="G71" s="8" t="inlineStr">
        <is>
          <t>Navbar y sidebar renderizados</t>
        </is>
      </c>
      <c r="H71" s="8" t="inlineStr">
        <is>
          <t>Abrir navegación y submenús</t>
        </is>
      </c>
      <c r="I71" s="8" t="inlineStr">
        <is>
          <t>Los items secundarios usan iconos y labels traducidos</t>
        </is>
      </c>
      <c r="J71" s="10" t="str"/>
      <c r="K71" s="8" t="str"/>
      <c r="L71" s="8" t="str"/>
      <c r="M71" s="8" t="inlineStr">
        <is>
          <t>frontend/src/configs/navigation.config/__tests__/apps.navigation.config.spec.ts</t>
        </is>
      </c>
      <c r="N71" s="8" t="inlineStr">
        <is>
          <t>2026-04-27</t>
        </is>
      </c>
      <c r="O71" s="8" t="inlineStr">
        <is>
          <t>Mantener</t>
        </is>
      </c>
    </row>
    <row r="72" ht="39.59999847412109" customHeight="1">
      <c r="A72" s="8" t="inlineStr">
        <is>
          <t>Admin</t>
        </is>
      </c>
      <c r="B72" s="8" t="inlineStr">
        <is>
          <t>ADMIN-SET-007</t>
        </is>
      </c>
      <c r="C72" s="8" t="inlineStr">
        <is>
          <t>UI/API</t>
        </is>
      </c>
      <c r="D72" s="8" t="inlineStr">
        <is>
          <t>Email</t>
        </is>
      </c>
      <c r="E72" s="8" t="inlineStr">
        <is>
          <t>Mostrar estado vacío explícito cuando falta una config de email</t>
        </is>
      </c>
      <c r="F72" s="8" t="inlineStr">
        <is>
          <t>UI/API</t>
        </is>
      </c>
      <c r="G72" s="8" t="inlineStr">
        <is>
          <t>SecureConfig sin datos o parcialmente poblado</t>
        </is>
      </c>
      <c r="H72" s="8" t="inlineStr">
        <is>
          <t>Abrir settings/email/config</t>
        </is>
      </c>
      <c r="I72" s="8" t="inlineStr">
        <is>
          <t>La UI no queda en spinner ni vacía: muestra el estado faltante con claridad</t>
        </is>
      </c>
      <c r="J72" s="10" t="str"/>
      <c r="K72" s="8" t="str"/>
      <c r="L72" s="8" t="str"/>
      <c r="M72" s="8" t="inlineStr">
        <is>
          <t>backend/src/email/__tests__/email-settings.service.spec.ts</t>
        </is>
      </c>
      <c r="N72" s="8" t="inlineStr">
        <is>
          <t>2026-04-27</t>
        </is>
      </c>
      <c r="O72" s="8" t="inlineStr">
        <is>
          <t>Mantener</t>
        </is>
      </c>
    </row>
    <row r="73" ht="39.59999847412109" customHeight="1">
      <c r="A73" s="8" t="inlineStr">
        <is>
          <t>Admin</t>
        </is>
      </c>
      <c r="B73" s="8" t="inlineStr">
        <is>
          <t>ADMIN-SET-008</t>
        </is>
      </c>
      <c r="C73" s="8" t="inlineStr">
        <is>
          <t>UI/E2E</t>
        </is>
      </c>
      <c r="D73" s="8" t="inlineStr">
        <is>
          <t>Canales</t>
        </is>
      </c>
      <c r="E73" s="8" t="inlineStr">
        <is>
          <t>Abrir email inbox desde la ruta estándar de canales</t>
        </is>
      </c>
      <c r="F73" s="8" t="inlineStr">
        <is>
          <t>UI/E2E</t>
        </is>
      </c>
      <c r="G73" s="8" t="inlineStr">
        <is>
          <t>Canales activos y cuenta de email disponible</t>
        </is>
      </c>
      <c r="H73" s="8" t="inlineStr">
        <is>
          <t>Navegar por settings/channels y seleccionar email</t>
        </is>
      </c>
      <c r="I73" s="8" t="inlineStr">
        <is>
          <t>El inbox se monta con la misma ruta y ownership que el resto de canales</t>
        </is>
      </c>
      <c r="J73" s="10" t="str"/>
      <c r="K73" s="8" t="str"/>
      <c r="L73" s="8" t="str"/>
      <c r="M73" s="8" t="inlineStr">
        <is>
          <t>ecommerce/e2e/admin-mail-inbox-real-account.spec.ts</t>
        </is>
      </c>
      <c r="N73" s="8" t="inlineStr">
        <is>
          <t>2026-04-27</t>
        </is>
      </c>
      <c r="O73" s="8" t="inlineStr">
        <is>
          <t>Mantener</t>
        </is>
      </c>
    </row>
    <row r="74" ht="26.39999961853027" customHeight="1">
      <c r="A74" s="8" t="inlineStr">
        <is>
          <t>Admin</t>
        </is>
      </c>
      <c r="B74" s="8" t="inlineStr">
        <is>
          <t>ADMIN-CHAT-001</t>
        </is>
      </c>
      <c r="C74" s="8" t="inlineStr">
        <is>
          <t>E2E/API</t>
        </is>
      </c>
      <c r="D74" s="8" t="inlineStr">
        <is>
          <t>Chat</t>
        </is>
      </c>
      <c r="E74" s="8" t="inlineStr">
        <is>
          <t>Ver conversaciones del chat platform</t>
        </is>
      </c>
      <c r="F74" s="8" t="inlineStr">
        <is>
          <t>E2E/API</t>
        </is>
      </c>
      <c r="G74" s="8" t="inlineStr">
        <is>
          <t>ai-platform con conversaciones reales</t>
        </is>
      </c>
      <c r="H74" s="8" t="inlineStr">
        <is>
          <t>Abrir /app/crm/conversations</t>
        </is>
      </c>
      <c r="I74" s="8" t="inlineStr">
        <is>
          <t>La lista muestra conversaciones reales y no legacy vacío</t>
        </is>
      </c>
      <c r="J74" s="10" t="str"/>
      <c r="K74" s="8" t="str"/>
      <c r="L74" s="8" t="str"/>
      <c r="M74" s="8" t="inlineStr">
        <is>
          <t>frontend/src/services/ConversationsService.ts</t>
        </is>
      </c>
      <c r="N74" s="8" t="inlineStr">
        <is>
          <t>2026-04-27</t>
        </is>
      </c>
      <c r="O74" s="8" t="inlineStr">
        <is>
          <t>Mantener</t>
        </is>
      </c>
    </row>
    <row r="75" ht="39.59999847412109" customHeight="1">
      <c r="A75" s="8" t="inlineStr">
        <is>
          <t>Admin</t>
        </is>
      </c>
      <c r="B75" s="8" t="inlineStr">
        <is>
          <t>ADMIN-CHAT-002</t>
        </is>
      </c>
      <c r="C75" s="8" t="inlineStr">
        <is>
          <t>E2E/API</t>
        </is>
      </c>
      <c r="D75" s="8" t="inlineStr">
        <is>
          <t>Chat</t>
        </is>
      </c>
      <c r="E75" s="8" t="inlineStr">
        <is>
          <t>Abrir detalle de conversación y responder manualmente</t>
        </is>
      </c>
      <c r="F75" s="8" t="inlineStr">
        <is>
          <t>E2E/API</t>
        </is>
      </c>
      <c r="G75" s="8" t="inlineStr">
        <is>
          <t>Conversación activa y operador autenticado</t>
        </is>
      </c>
      <c r="H75" s="8" t="inlineStr">
        <is>
          <t>Abrir detalle y enviar reply</t>
        </is>
      </c>
      <c r="I75" s="8" t="inlineStr">
        <is>
          <t>El reply se persiste en ai-platform y se refleja al recargar</t>
        </is>
      </c>
      <c r="J75" s="10" t="str"/>
      <c r="K75" s="8" t="str"/>
      <c r="L75" s="8" t="str"/>
      <c r="M75" s="8" t="inlineStr">
        <is>
          <t>ecommerce/e2e/admin-conversations-email-reply.spec.ts</t>
        </is>
      </c>
      <c r="N75" s="8" t="inlineStr">
        <is>
          <t>2026-04-27</t>
        </is>
      </c>
      <c r="O75" s="8" t="inlineStr">
        <is>
          <t>Mantener</t>
        </is>
      </c>
    </row>
    <row r="76" ht="52.79999923706055" customHeight="1">
      <c r="A76" s="8" t="inlineStr">
        <is>
          <t>Admin</t>
        </is>
      </c>
      <c r="B76" s="8" t="inlineStr">
        <is>
          <t>ADMIN-CHAT-003</t>
        </is>
      </c>
      <c r="C76" s="8" t="inlineStr">
        <is>
          <t>UI/API</t>
        </is>
      </c>
      <c r="D76" s="8" t="inlineStr">
        <is>
          <t>Chat</t>
        </is>
      </c>
      <c r="E76" s="8" t="inlineStr">
        <is>
          <t>Archivar, fijar, takeover y marcar como leído una conversación</t>
        </is>
      </c>
      <c r="F76" s="8" t="inlineStr">
        <is>
          <t>UI/API</t>
        </is>
      </c>
      <c r="G76" s="8" t="inlineStr">
        <is>
          <t>Conversación visible en inbox</t>
        </is>
      </c>
      <c r="H76" s="8" t="inlineStr">
        <is>
          <t>Ejecutar acciones del panel</t>
        </is>
      </c>
      <c r="I76" s="8" t="inlineStr">
        <is>
          <t>El estado se actualiza sin perder el hilo ni la trazabilidad; takeover sólo queda vigente si el contrato actual lo expone</t>
        </is>
      </c>
      <c r="J76" s="10" t="str"/>
      <c r="K76" s="8" t="str"/>
      <c r="L76" s="8" t="str"/>
      <c r="M76" s="8" t="inlineStr">
        <is>
          <t>ecommerce/e2e/admin-messaging-regression.spec.ts; ecommerce/e2e/admin-conversation-actions.spec.ts</t>
        </is>
      </c>
      <c r="N76" s="8" t="inlineStr">
        <is>
          <t>2026-04-27</t>
        </is>
      </c>
      <c r="O76" s="8" t="inlineStr">
        <is>
          <t>Mantener</t>
        </is>
      </c>
    </row>
    <row r="77" ht="52.79999923706055" customHeight="1">
      <c r="A77" s="8" t="inlineStr">
        <is>
          <t>Admin</t>
        </is>
      </c>
      <c r="B77" s="8" t="inlineStr">
        <is>
          <t>ADMIN-CHAT-004</t>
        </is>
      </c>
      <c r="C77" s="8" t="inlineStr">
        <is>
          <t>E2E</t>
        </is>
      </c>
      <c r="D77" s="8" t="inlineStr">
        <is>
          <t>Chat</t>
        </is>
      </c>
      <c r="E77" s="8" t="inlineStr">
        <is>
          <t>Inbox multicanal y detail móvil</t>
        </is>
      </c>
      <c r="F77" s="8" t="inlineStr">
        <is>
          <t>E2E</t>
        </is>
      </c>
      <c r="G77" s="8" t="inlineStr">
        <is>
          <t>Canales activos con mensajes reales</t>
        </is>
      </c>
      <c r="H77" s="8" t="inlineStr">
        <is>
          <t>Abrir inbox y detalle en mobile</t>
        </is>
      </c>
      <c r="I77" s="8" t="inlineStr">
        <is>
          <t>Se muestran todos los canales disponibles y el detalle sigue usable</t>
        </is>
      </c>
      <c r="J77" s="10" t="str"/>
      <c r="K77" s="8" t="str"/>
      <c r="L77" s="8" t="str"/>
      <c r="M77" s="8" t="inlineStr">
        <is>
          <t>ecommerce/e2e/admin-conversations-multichannel.spec.ts; ecommerce/e2e/admin-conversations-mobile-detail.spec.ts</t>
        </is>
      </c>
      <c r="N77" s="8" t="inlineStr">
        <is>
          <t>2026-04-27</t>
        </is>
      </c>
      <c r="O77" s="8" t="inlineStr">
        <is>
          <t>Mantener</t>
        </is>
      </c>
    </row>
    <row r="78" ht="52.79999923706055" customHeight="1">
      <c r="A78" s="8" t="inlineStr">
        <is>
          <t>Admin</t>
        </is>
      </c>
      <c r="B78" s="8" t="inlineStr">
        <is>
          <t>ADMIN-CHAT-005</t>
        </is>
      </c>
      <c r="C78" s="8" t="inlineStr">
        <is>
          <t>E2E/API</t>
        </is>
      </c>
      <c r="D78" s="8" t="inlineStr">
        <is>
          <t>Chat</t>
        </is>
      </c>
      <c r="E78" s="8" t="inlineStr">
        <is>
          <t>Sincronizar estado de entrega Meta</t>
        </is>
      </c>
      <c r="F78" s="8" t="inlineStr">
        <is>
          <t>E2E/API</t>
        </is>
      </c>
      <c r="G78" s="8" t="inlineStr">
        <is>
          <t>Canal Meta habilitado</t>
        </is>
      </c>
      <c r="H78" s="8" t="inlineStr">
        <is>
          <t>Enviar evento de status</t>
        </is>
      </c>
      <c r="I78" s="8" t="inlineStr">
        <is>
          <t>La conversación proyecta delivered/read back al hub cuando la firma de webhook es válida</t>
        </is>
      </c>
      <c r="J78" s="10" t="str"/>
      <c r="K78" s="8" t="str"/>
      <c r="L78" s="8" t="str"/>
      <c r="M78" s="8" t="inlineStr">
        <is>
          <t>ecommerce/e2e/admin-conversations-meta-status.spec.ts</t>
        </is>
      </c>
      <c r="N78" s="8" t="inlineStr">
        <is>
          <t>2026-04-27</t>
        </is>
      </c>
      <c r="O78" s="8" t="inlineStr">
        <is>
          <t>Mantener</t>
        </is>
      </c>
    </row>
    <row r="79" ht="26.39999961853027" customHeight="1">
      <c r="A79" s="8" t="inlineStr">
        <is>
          <t>Admin</t>
        </is>
      </c>
      <c r="B79" s="8" t="inlineStr">
        <is>
          <t>ADMIN-CHAT-006</t>
        </is>
      </c>
      <c r="C79" s="8" t="inlineStr">
        <is>
          <t>E2E/API</t>
        </is>
      </c>
      <c r="D79" s="8" t="inlineStr">
        <is>
          <t>Chat</t>
        </is>
      </c>
      <c r="E79" s="8" t="inlineStr">
        <is>
          <t>Buzón real de email en conversations</t>
        </is>
      </c>
      <c r="F79" s="8" t="inlineStr">
        <is>
          <t>E2E/API</t>
        </is>
      </c>
      <c r="G79" s="8" t="inlineStr">
        <is>
          <t>Cuenta de correo operativa</t>
        </is>
      </c>
      <c r="H79" s="8" t="inlineStr">
        <is>
          <t>Abrir inbox real</t>
        </is>
      </c>
      <c r="I79" s="8" t="inlineStr">
        <is>
          <t>Se ven mensajes reales y no sólo el inbox vacío/legacy</t>
        </is>
      </c>
      <c r="J79" s="10" t="str"/>
      <c r="K79" s="8" t="str"/>
      <c r="L79" s="8" t="str"/>
      <c r="M79" s="8" t="inlineStr">
        <is>
          <t>ecommerce/e2e/admin-mail-inbox-real-account.spec.ts</t>
        </is>
      </c>
      <c r="N79" s="8" t="inlineStr">
        <is>
          <t>2026-04-27</t>
        </is>
      </c>
      <c r="O79" s="8" t="inlineStr">
        <is>
          <t>Mantener</t>
        </is>
      </c>
    </row>
    <row r="80" ht="39.59999847412109" customHeight="1">
      <c r="A80" s="8" t="inlineStr">
        <is>
          <t>Admin</t>
        </is>
      </c>
      <c r="B80" s="8" t="inlineStr">
        <is>
          <t>ADMIN-CHAT-013</t>
        </is>
      </c>
      <c r="C80" s="8" t="inlineStr">
        <is>
          <t>E2E/UI</t>
        </is>
      </c>
      <c r="D80" s="8" t="inlineStr">
        <is>
          <t>Chat</t>
        </is>
      </c>
      <c r="E80" s="8" t="inlineStr">
        <is>
          <t>El inbox de email no queda colgado cuando la cuenta no tiene mensajes</t>
        </is>
      </c>
      <c r="F80" s="8" t="inlineStr">
        <is>
          <t>E2E/UI</t>
        </is>
      </c>
      <c r="G80" s="8" t="inlineStr">
        <is>
          <t>Cuenta de email operativa sin mensajes nuevos</t>
        </is>
      </c>
      <c r="H80" s="8" t="inlineStr">
        <is>
          <t>Abrir el inbox real y esperar estado final</t>
        </is>
      </c>
      <c r="I80" s="8" t="inlineStr">
        <is>
          <t>La vista muestra empty/error de forma explícita en vez de dejar spinner infinito</t>
        </is>
      </c>
      <c r="J80" s="10" t="str"/>
      <c r="K80" s="8" t="str"/>
      <c r="L80" s="8" t="str"/>
      <c r="M80" s="8" t="inlineStr">
        <is>
          <t>ecommerce/e2e/admin-mail-inbox-real-account.spec.ts</t>
        </is>
      </c>
      <c r="N80" s="8" t="inlineStr">
        <is>
          <t>2026-04-27</t>
        </is>
      </c>
      <c r="O80" s="8" t="inlineStr">
        <is>
          <t>Mantener</t>
        </is>
      </c>
    </row>
    <row r="81" ht="79.19999694824219" customHeight="1">
      <c r="A81" s="8" t="inlineStr">
        <is>
          <t>Admin</t>
        </is>
      </c>
      <c r="B81" s="8" t="inlineStr">
        <is>
          <t>ADMIN-CHAT-014</t>
        </is>
      </c>
      <c r="C81" s="8" t="inlineStr">
        <is>
          <t>UI/E2E</t>
        </is>
      </c>
      <c r="D81" s="8" t="inlineStr">
        <is>
          <t>Chat</t>
        </is>
      </c>
      <c r="E81" s="8" t="inlineStr">
        <is>
          <t>Rechazar reply vacío o whitespace</t>
        </is>
      </c>
      <c r="F81" s="8" t="inlineStr">
        <is>
          <t>UI/E2E</t>
        </is>
      </c>
      <c r="G81" s="8" t="inlineStr">
        <is>
          <t>Conversación abierta</t>
        </is>
      </c>
      <c r="H81" s="8" t="inlineStr">
        <is>
          <t>Enviar reply vacío</t>
        </is>
      </c>
      <c r="I81" s="8" t="inlineStr">
        <is>
          <t>La UI impide el envío y muestra error/guard rail</t>
        </is>
      </c>
      <c r="J81" s="10" t="str"/>
      <c r="K81" s="8" t="str"/>
      <c r="L81" s="8" t="str"/>
      <c r="M81" s="8" t="inlineStr">
        <is>
          <t>ai-platform/backend/src/modules/api/dto/admin-conversation-reply.dto.ts; ai-platform/backend/src/modules/api/__tests__/dto-validation.spec.ts</t>
        </is>
      </c>
      <c r="N81" s="8" t="inlineStr">
        <is>
          <t>2026-04-27</t>
        </is>
      </c>
      <c r="O81" s="8" t="inlineStr">
        <is>
          <t>Mantener</t>
        </is>
      </c>
    </row>
    <row r="82" ht="39.59999847412109" customHeight="1">
      <c r="A82" s="8" t="inlineStr">
        <is>
          <t>Admin</t>
        </is>
      </c>
      <c r="B82" s="8" t="inlineStr">
        <is>
          <t>ADMIN-CHAT-015</t>
        </is>
      </c>
      <c r="C82" s="8" t="inlineStr">
        <is>
          <t>E2E</t>
        </is>
      </c>
      <c r="D82" s="8" t="inlineStr">
        <is>
          <t>Chat</t>
        </is>
      </c>
      <c r="E82" s="8" t="inlineStr">
        <is>
          <t>Filtrar inbox por sujeto/canal sin falsos positivos obvios</t>
        </is>
      </c>
      <c r="F82" s="8" t="inlineStr">
        <is>
          <t>E2E</t>
        </is>
      </c>
      <c r="G82" s="8" t="inlineStr">
        <is>
          <t>Conversaciones con contenido mixto</t>
        </is>
      </c>
      <c r="H82" s="8" t="inlineStr">
        <is>
          <t>Buscar en inbox por término</t>
        </is>
      </c>
      <c r="I82" s="8" t="inlineStr">
        <is>
          <t>Los resultados matchean por sujeto, canal y texto sin degradar la navegación</t>
        </is>
      </c>
      <c r="J82" s="10" t="str"/>
      <c r="K82" s="8" t="str"/>
      <c r="L82" s="8" t="str"/>
      <c r="M82" s="8" t="inlineStr">
        <is>
          <t>ecommerce/e2e/admin-messaging-search-matching.spec.ts</t>
        </is>
      </c>
      <c r="N82" s="8" t="inlineStr">
        <is>
          <t>2026-04-27</t>
        </is>
      </c>
      <c r="O82" s="8" t="inlineStr">
        <is>
          <t>Mantener</t>
        </is>
      </c>
    </row>
    <row r="83" ht="39.59999847412109" customHeight="1">
      <c r="A83" s="8" t="inlineStr">
        <is>
          <t>Admin</t>
        </is>
      </c>
      <c r="B83" s="8" t="inlineStr">
        <is>
          <t>ADMIN-CHAT-007</t>
        </is>
      </c>
      <c r="C83" s="8" t="inlineStr">
        <is>
          <t>E2E/API</t>
        </is>
      </c>
      <c r="D83" s="8" t="inlineStr">
        <is>
          <t>Chat</t>
        </is>
      </c>
      <c r="E83" s="8" t="inlineStr">
        <is>
          <t>Búsqueda y matching de mensajes</t>
        </is>
      </c>
      <c r="F83" s="8" t="inlineStr">
        <is>
          <t>E2E/API</t>
        </is>
      </c>
      <c r="G83" s="8" t="inlineStr">
        <is>
          <t>Conversaciones con contenido mixto</t>
        </is>
      </c>
      <c r="H83" s="8" t="inlineStr">
        <is>
          <t>Buscar en inbox por término</t>
        </is>
      </c>
      <c r="I83" s="8" t="inlineStr">
        <is>
          <t>Los resultados matchean por sujeto, canal y texto sin falsos positivos obvios</t>
        </is>
      </c>
      <c r="J83" s="10" t="str"/>
      <c r="K83" s="8" t="str"/>
      <c r="L83" s="8" t="str"/>
      <c r="M83" s="8" t="inlineStr">
        <is>
          <t>ecommerce/e2e/admin-messaging-search-matching.spec.ts</t>
        </is>
      </c>
      <c r="N83" s="8" t="inlineStr">
        <is>
          <t>2026-04-27</t>
        </is>
      </c>
      <c r="O83" s="8" t="inlineStr">
        <is>
          <t>Mantener</t>
        </is>
      </c>
    </row>
    <row r="84" ht="52.79999923706055" customHeight="1">
      <c r="A84" s="8" t="inlineStr">
        <is>
          <t>Admin</t>
        </is>
      </c>
      <c r="B84" s="8" t="inlineStr">
        <is>
          <t>ADMIN-CHAT-008</t>
        </is>
      </c>
      <c r="C84" s="8" t="inlineStr">
        <is>
          <t>E2E/API</t>
        </is>
      </c>
      <c r="D84" s="8" t="inlineStr">
        <is>
          <t>Chat</t>
        </is>
      </c>
      <c r="E84" s="8" t="inlineStr">
        <is>
          <t>Flujo interno de chat/no automations</t>
        </is>
      </c>
      <c r="F84" s="8" t="inlineStr">
        <is>
          <t>E2E/API</t>
        </is>
      </c>
      <c r="G84" s="8" t="inlineStr">
        <is>
          <t>Operador autenticado</t>
        </is>
      </c>
      <c r="H84" s="8" t="inlineStr">
        <is>
          <t>Abrir conversación interna</t>
        </is>
      </c>
      <c r="I84" s="8" t="inlineStr">
        <is>
          <t>La UI opera manual replies y acciones operativas sin respuesta automática en esta entrega</t>
        </is>
      </c>
      <c r="J84" s="10" t="str"/>
      <c r="K84" s="8" t="str"/>
      <c r="L84" s="8" t="str"/>
      <c r="M84" s="8" t="inlineStr">
        <is>
          <t>ecommerce/e2e/admin-conversations-internal-chat.spec.ts</t>
        </is>
      </c>
      <c r="N84" s="8" t="inlineStr">
        <is>
          <t>2026-04-27</t>
        </is>
      </c>
      <c r="O84" s="8" t="inlineStr">
        <is>
          <t>Mantener</t>
        </is>
      </c>
    </row>
    <row r="85" ht="39.59999847412109" customHeight="1">
      <c r="A85" s="8" t="inlineStr">
        <is>
          <t>Admin</t>
        </is>
      </c>
      <c r="B85" s="8" t="inlineStr">
        <is>
          <t>ADMIN-CHAT-009</t>
        </is>
      </c>
      <c r="C85" s="8" t="inlineStr">
        <is>
          <t>E2E/API</t>
        </is>
      </c>
      <c r="D85" s="8" t="inlineStr">
        <is>
          <t>Chat</t>
        </is>
      </c>
      <c r="E85" s="8" t="inlineStr">
        <is>
          <t>Confirmación interna y transiciones de estado</t>
        </is>
      </c>
      <c r="F85" s="8" t="inlineStr">
        <is>
          <t>E2E/API</t>
        </is>
      </c>
      <c r="G85" s="8" t="inlineStr">
        <is>
          <t>Conversación abierta</t>
        </is>
      </c>
      <c r="H85" s="8" t="inlineStr">
        <is>
          <t>Ejecutar confirmaciones internas</t>
        </is>
      </c>
      <c r="I85" s="8" t="inlineStr">
        <is>
          <t>La conversación respeta el estado y la operatoria definidas</t>
        </is>
      </c>
      <c r="J85" s="10" t="str"/>
      <c r="K85" s="8" t="str"/>
      <c r="L85" s="8" t="str"/>
      <c r="M85" s="8" t="inlineStr">
        <is>
          <t>ecommerce/e2e/admin-conversations-internal-confirmation.spec.ts</t>
        </is>
      </c>
      <c r="N85" s="8" t="inlineStr">
        <is>
          <t>2026-04-27</t>
        </is>
      </c>
      <c r="O85" s="8" t="inlineStr">
        <is>
          <t>Mantener</t>
        </is>
      </c>
    </row>
    <row r="86" ht="52.79999923706055" customHeight="1">
      <c r="A86" s="8" t="inlineStr">
        <is>
          <t>Admin</t>
        </is>
      </c>
      <c r="B86" s="8" t="inlineStr">
        <is>
          <t>ADMIN-CHAT-010</t>
        </is>
      </c>
      <c r="C86" s="8" t="inlineStr">
        <is>
          <t>E2E/UI</t>
        </is>
      </c>
      <c r="D86" s="8" t="inlineStr">
        <is>
          <t>Chat</t>
        </is>
      </c>
      <c r="E86" s="8" t="inlineStr">
        <is>
          <t>Móvil y subroles en conversaciones</t>
        </is>
      </c>
      <c r="F86" s="8" t="inlineStr">
        <is>
          <t>E2E/UI</t>
        </is>
      </c>
      <c r="G86" s="8" t="inlineStr">
        <is>
          <t>Usuario con rol restringido</t>
        </is>
      </c>
      <c r="H86" s="8" t="inlineStr">
        <is>
          <t>Abrir inbox en mobile</t>
        </is>
      </c>
      <c r="I86" s="8" t="inlineStr">
        <is>
          <t>La UI mantiene accesibilidad y restricciones por rol</t>
        </is>
      </c>
      <c r="J86" s="10" t="str"/>
      <c r="K86" s="8" t="str"/>
      <c r="L86" s="8" t="str"/>
      <c r="M86" s="8" t="inlineStr">
        <is>
          <t>ecommerce/e2e/admin-conversations-mobile-detail.spec.ts; ecommerce/e2e/admin-conversations-subroles.spec.ts</t>
        </is>
      </c>
      <c r="N86" s="8" t="inlineStr">
        <is>
          <t>2026-04-27</t>
        </is>
      </c>
      <c r="O86" s="8" t="inlineStr">
        <is>
          <t>Mantener</t>
        </is>
      </c>
    </row>
    <row r="87" ht="79.19999694824219" customHeight="1">
      <c r="A87" s="8" t="inlineStr">
        <is>
          <t>Admin</t>
        </is>
      </c>
      <c r="B87" s="8" t="inlineStr">
        <is>
          <t>ADMIN-CHAT-011</t>
        </is>
      </c>
      <c r="C87" s="8" t="inlineStr">
        <is>
          <t>E2E/API</t>
        </is>
      </c>
      <c r="D87" s="8" t="inlineStr">
        <is>
          <t>Chat</t>
        </is>
      </c>
      <c r="E87" s="8" t="inlineStr">
        <is>
          <t>Inbox: notificación de orden llega también al panel de admin</t>
        </is>
      </c>
      <c r="F87" s="8" t="inlineStr">
        <is>
          <t>E2E/API</t>
        </is>
      </c>
      <c r="G87" s="8" t="inlineStr">
        <is>
          <t>Orden emitida y notificaciones customer/admin activas</t>
        </is>
      </c>
      <c r="H87" s="8" t="inlineStr">
        <is>
          <t>Abrir conversaciones luego de un checkout</t>
        </is>
      </c>
      <c r="I87" s="8" t="inlineStr">
        <is>
          <t>La orden genera conversación/notificación visible para operación interna</t>
        </is>
      </c>
      <c r="J87" s="10" t="str"/>
      <c r="K87" s="8" t="str"/>
      <c r="L87" s="8" t="str"/>
      <c r="M87" s="8" t="inlineStr">
        <is>
          <t>ecommerce/e2e/account-notifications-order-detail.spec.ts; ecommerce/e2e/admin-order-detail-cross-project.spec.ts; ecommerce/e2e/mercadopago-success.spec.ts</t>
        </is>
      </c>
      <c r="N87" s="8" t="inlineStr">
        <is>
          <t>2026-04-27</t>
        </is>
      </c>
      <c r="O87" s="8" t="inlineStr">
        <is>
          <t>Mantener</t>
        </is>
      </c>
    </row>
    <row r="88" ht="79.19999694824219" customHeight="1">
      <c r="A88" s="8" t="inlineStr">
        <is>
          <t>Admin</t>
        </is>
      </c>
      <c r="B88" s="8" t="inlineStr">
        <is>
          <t>ADMIN-CHAT-012</t>
        </is>
      </c>
      <c r="C88" s="8" t="inlineStr">
        <is>
          <t>UI/E2E</t>
        </is>
      </c>
      <c r="D88" s="8" t="inlineStr">
        <is>
          <t>Chat</t>
        </is>
      </c>
      <c r="E88" s="8" t="inlineStr">
        <is>
          <t>Rechazar reply vacío o whitespace</t>
        </is>
      </c>
      <c r="F88" s="8" t="inlineStr">
        <is>
          <t>UI/E2E</t>
        </is>
      </c>
      <c r="G88" s="8" t="inlineStr">
        <is>
          <t>Conversación abierta</t>
        </is>
      </c>
      <c r="H88" s="8" t="inlineStr">
        <is>
          <t>Enviar reply vacío</t>
        </is>
      </c>
      <c r="I88" s="8" t="inlineStr">
        <is>
          <t>La UI impide el envío y muestra error/guard rail</t>
        </is>
      </c>
      <c r="J88" s="10" t="str"/>
      <c r="K88" s="8" t="str"/>
      <c r="L88" s="8" t="str"/>
      <c r="M88" s="8" t="inlineStr">
        <is>
          <t>ai-platform/backend/src/modules/api/dto/admin-conversation-reply.dto.ts; ai-platform/backend/src/modules/api/__tests__/dto-validation.spec.ts</t>
        </is>
      </c>
      <c r="N88" s="8" t="inlineStr">
        <is>
          <t>2026-04-27</t>
        </is>
      </c>
      <c r="O88" s="8" t="inlineStr">
        <is>
          <t>Mantener</t>
        </is>
      </c>
    </row>
    <row r="89" ht="39.59999847412109" customHeight="1">
      <c r="A89" s="8" t="inlineStr">
        <is>
          <t>Admin</t>
        </is>
      </c>
      <c r="B89" s="8" t="inlineStr">
        <is>
          <t>ADMIN-AI-001</t>
        </is>
      </c>
      <c r="C89" s="8" t="inlineStr">
        <is>
          <t>UI/API</t>
        </is>
      </c>
      <c r="D89" s="8" t="inlineStr">
        <is>
          <t>IA</t>
        </is>
      </c>
      <c r="E89" s="8" t="inlineStr">
        <is>
          <t>Configurar runtime del agente</t>
        </is>
      </c>
      <c r="F89" s="8" t="inlineStr">
        <is>
          <t>UI/API</t>
        </is>
      </c>
      <c r="G89" s="8" t="inlineStr">
        <is>
          <t>ai-platform configurado</t>
        </is>
      </c>
      <c r="H89" s="8" t="inlineStr">
        <is>
          <t>Abrir AI runtime settings</t>
        </is>
      </c>
      <c r="I89" s="8" t="inlineStr">
        <is>
          <t>Se puede activar/desactivar y guardar config segura del runtime</t>
        </is>
      </c>
      <c r="J89" s="10" t="str"/>
      <c r="K89" s="8" t="str"/>
      <c r="L89" s="8" t="str"/>
      <c r="M89" s="8" t="inlineStr">
        <is>
          <t>ecommerce/e2e/admin-ai-settings.spec.ts</t>
        </is>
      </c>
      <c r="N89" s="8" t="inlineStr">
        <is>
          <t>2026-04-27</t>
        </is>
      </c>
      <c r="O89" s="8" t="inlineStr">
        <is>
          <t>Mantener</t>
        </is>
      </c>
    </row>
    <row r="90" ht="39.59999847412109" customHeight="1">
      <c r="A90" s="8" t="inlineStr">
        <is>
          <t>Admin</t>
        </is>
      </c>
      <c r="B90" s="8" t="inlineStr">
        <is>
          <t>ADMIN-AI-002</t>
        </is>
      </c>
      <c r="C90" s="8" t="inlineStr">
        <is>
          <t>UI/API</t>
        </is>
      </c>
      <c r="D90" s="8" t="inlineStr">
        <is>
          <t>IA</t>
        </is>
      </c>
      <c r="E90" s="8" t="inlineStr">
        <is>
          <t>Gestionar documentos y conocimiento</t>
        </is>
      </c>
      <c r="F90" s="8" t="inlineStr">
        <is>
          <t>UI/API</t>
        </is>
      </c>
      <c r="G90" s="8" t="inlineStr">
        <is>
          <t>Documentos base cargados</t>
        </is>
      </c>
      <c r="H90" s="8" t="inlineStr">
        <is>
          <t>Abrir knowledge/documents</t>
        </is>
      </c>
      <c r="I90" s="8" t="inlineStr">
        <is>
          <t>Los documentos, chunks y claims se listan y editan correctamente</t>
        </is>
      </c>
      <c r="J90" s="10" t="str"/>
      <c r="K90" s="8" t="str"/>
      <c r="L90" s="8" t="str"/>
      <c r="M90" s="8" t="inlineStr">
        <is>
          <t>ecommerce/e2e/admin-ai-settings.spec.ts</t>
        </is>
      </c>
      <c r="N90" s="8" t="inlineStr">
        <is>
          <t>2026-04-27</t>
        </is>
      </c>
      <c r="O90" s="8" t="inlineStr">
        <is>
          <t>Mantener</t>
        </is>
      </c>
    </row>
    <row r="91" ht="26.39999961853027" customHeight="1">
      <c r="A91" s="8" t="inlineStr">
        <is>
          <t>Admin</t>
        </is>
      </c>
      <c r="B91" s="8" t="inlineStr">
        <is>
          <t>ADMIN-AI-003</t>
        </is>
      </c>
      <c r="C91" s="8" t="inlineStr">
        <is>
          <t>UI/API</t>
        </is>
      </c>
      <c r="D91" s="8" t="inlineStr">
        <is>
          <t>IA</t>
        </is>
      </c>
      <c r="E91" s="8" t="inlineStr">
        <is>
          <t>Revisar candidates, bundles, feedback y raw events</t>
        </is>
      </c>
      <c r="F91" s="8" t="inlineStr">
        <is>
          <t>UI/API</t>
        </is>
      </c>
      <c r="G91" s="8" t="inlineStr">
        <is>
          <t>Pipeline de knowledge activo</t>
        </is>
      </c>
      <c r="H91" s="8" t="inlineStr">
        <is>
          <t>Abrir candidate/bundle/feedback views</t>
        </is>
      </c>
      <c r="I91" s="8" t="inlineStr">
        <is>
          <t>La promoción y trazabilidad del conocimiento queda visible</t>
        </is>
      </c>
      <c r="J91" s="10" t="str"/>
      <c r="K91" s="8" t="str"/>
      <c r="L91" s="8" t="str"/>
      <c r="M91" s="8" t="inlineStr">
        <is>
          <t>ecommerce/e2e/admin-ai-settings.spec.ts</t>
        </is>
      </c>
      <c r="N91" s="8" t="inlineStr">
        <is>
          <t>2026-04-27</t>
        </is>
      </c>
      <c r="O91" s="8" t="inlineStr">
        <is>
          <t>Mantener</t>
        </is>
      </c>
    </row>
    <row r="92" ht="26.39999961853027" customHeight="1">
      <c r="A92" s="8" t="inlineStr">
        <is>
          <t>Admin</t>
        </is>
      </c>
      <c r="B92" s="8" t="inlineStr">
        <is>
          <t>ADMIN-AI-004</t>
        </is>
      </c>
      <c r="C92" s="8" t="inlineStr">
        <is>
          <t>UI/API</t>
        </is>
      </c>
      <c r="D92" s="8" t="inlineStr">
        <is>
          <t>IA</t>
        </is>
      </c>
      <c r="E92" s="8" t="inlineStr">
        <is>
          <t>Gestionar ingestion runs y eventos crudos</t>
        </is>
      </c>
      <c r="F92" s="8" t="inlineStr">
        <is>
          <t>UI/API</t>
        </is>
      </c>
      <c r="G92" s="8" t="inlineStr">
        <is>
          <t>Knowledge pipeline activo</t>
        </is>
      </c>
      <c r="H92" s="8" t="inlineStr">
        <is>
          <t>Abrir ingestion/raw events</t>
        </is>
      </c>
      <c r="I92" s="8" t="inlineStr">
        <is>
          <t>La UI expone corridas, eventos y trazabilidad del pipeline</t>
        </is>
      </c>
      <c r="J92" s="10" t="str"/>
      <c r="K92" s="8" t="str"/>
      <c r="L92" s="8" t="str"/>
      <c r="M92" s="8" t="inlineStr">
        <is>
          <t>ecommerce/e2e/admin-ai-settings.spec.ts</t>
        </is>
      </c>
      <c r="N92" s="8" t="inlineStr">
        <is>
          <t>2026-04-27</t>
        </is>
      </c>
      <c r="O92" s="8" t="inlineStr">
        <is>
          <t>Mantener</t>
        </is>
      </c>
    </row>
    <row r="93" ht="26.39999961853027" customHeight="1">
      <c r="A93" s="8" t="inlineStr">
        <is>
          <t>Admin</t>
        </is>
      </c>
      <c r="B93" s="8" t="inlineStr">
        <is>
          <t>ADMIN-AI-005</t>
        </is>
      </c>
      <c r="C93" s="8" t="inlineStr">
        <is>
          <t>UI/API</t>
        </is>
      </c>
      <c r="D93" s="8" t="inlineStr">
        <is>
          <t>IA</t>
        </is>
      </c>
      <c r="E93" s="8" t="inlineStr">
        <is>
          <t>Ver negative examples y bundles de promoción</t>
        </is>
      </c>
      <c r="F93" s="8" t="inlineStr">
        <is>
          <t>UI/API</t>
        </is>
      </c>
      <c r="G93" s="8" t="inlineStr">
        <is>
          <t>Promoción activa</t>
        </is>
      </c>
      <c r="H93" s="8" t="inlineStr">
        <is>
          <t>Abrir negative examples y bundles</t>
        </is>
      </c>
      <c r="I93" s="8" t="inlineStr">
        <is>
          <t>Se ven ejemplos negativos y grupos de promoción/rechazo</t>
        </is>
      </c>
      <c r="J93" s="10" t="str"/>
      <c r="K93" s="8" t="str"/>
      <c r="L93" s="8" t="str"/>
      <c r="M93" s="8" t="inlineStr">
        <is>
          <t>ecommerce/e2e/admin-ai-settings.spec.ts</t>
        </is>
      </c>
      <c r="N93" s="8" t="inlineStr">
        <is>
          <t>2026-04-27</t>
        </is>
      </c>
      <c r="O93" s="8" t="inlineStr">
        <is>
          <t>Mantener</t>
        </is>
      </c>
    </row>
    <row r="94" ht="26.39999961853027" customHeight="1">
      <c r="A94" s="8" t="inlineStr">
        <is>
          <t>Admin</t>
        </is>
      </c>
      <c r="B94" s="8" t="inlineStr">
        <is>
          <t>ADMIN-AI-006</t>
        </is>
      </c>
      <c r="C94" s="8" t="inlineStr">
        <is>
          <t>UI/API</t>
        </is>
      </c>
      <c r="D94" s="8" t="inlineStr">
        <is>
          <t>IA</t>
        </is>
      </c>
      <c r="E94" s="8" t="inlineStr">
        <is>
          <t>Ver feedback de conocimiento</t>
        </is>
      </c>
      <c r="F94" s="8" t="inlineStr">
        <is>
          <t>UI/API</t>
        </is>
      </c>
      <c r="G94" s="8" t="inlineStr">
        <is>
          <t>Feedback capturado</t>
        </is>
      </c>
      <c r="H94" s="8" t="inlineStr">
        <is>
          <t>Abrir feedback</t>
        </is>
      </c>
      <c r="I94" s="8" t="inlineStr">
        <is>
          <t>La vista muestra el feedback y permite seguimiento</t>
        </is>
      </c>
      <c r="J94" s="10" t="str"/>
      <c r="K94" s="8" t="str"/>
      <c r="L94" s="8" t="str"/>
      <c r="M94" s="8" t="inlineStr">
        <is>
          <t>ecommerce/e2e/admin-ai-settings.spec.ts</t>
        </is>
      </c>
      <c r="N94" s="8" t="inlineStr">
        <is>
          <t>2026-04-27</t>
        </is>
      </c>
      <c r="O94" s="8" t="inlineStr">
        <is>
          <t>Mantener</t>
        </is>
      </c>
    </row>
    <row r="95" ht="26.39999961853027" customHeight="1">
      <c r="A95" s="8" t="inlineStr">
        <is>
          <t>Admin</t>
        </is>
      </c>
      <c r="B95" s="8" t="inlineStr">
        <is>
          <t>ADMIN-QA-001</t>
        </is>
      </c>
      <c r="C95" s="8" t="inlineStr">
        <is>
          <t>UI</t>
        </is>
      </c>
      <c r="D95" s="8" t="inlineStr">
        <is>
          <t>QA</t>
        </is>
      </c>
      <c r="E95" s="8" t="inlineStr">
        <is>
          <t>Abrir el viewer de QA y revisar bloques</t>
        </is>
      </c>
      <c r="F95" s="8" t="inlineStr">
        <is>
          <t>UI</t>
        </is>
      </c>
      <c r="G95" s="8" t="inlineStr">
        <is>
          <t>Admin autenticado</t>
        </is>
      </c>
      <c r="H95" s="8" t="inlineStr">
        <is>
          <t>Entrar a /app/settings/qa</t>
        </is>
      </c>
      <c r="I95" s="8" t="inlineStr">
        <is>
          <t>El catálogo de bloques, último run e historial se muestran</t>
        </is>
      </c>
      <c r="J95" s="10" t="str"/>
      <c r="K95" s="8" t="str"/>
      <c r="L95" s="8" t="str"/>
      <c r="M95" s="8" t="inlineStr">
        <is>
          <t>ecommerce/e2e/admin-qa-center.spec.ts</t>
        </is>
      </c>
      <c r="N95" s="8" t="inlineStr">
        <is>
          <t>2026-04-27</t>
        </is>
      </c>
      <c r="O95" s="8" t="inlineStr">
        <is>
          <t>Mantener</t>
        </is>
      </c>
    </row>
    <row r="96" ht="26.39999961853027" customHeight="1">
      <c r="A96" s="8" t="inlineStr">
        <is>
          <t>Admin</t>
        </is>
      </c>
      <c r="B96" s="8" t="inlineStr">
        <is>
          <t>ADMIN-COM-001</t>
        </is>
      </c>
      <c r="C96" s="8" t="inlineStr">
        <is>
          <t>UI</t>
        </is>
      </c>
      <c r="D96" s="8" t="inlineStr">
        <is>
          <t>Comercial</t>
        </is>
      </c>
      <c r="E96" s="8" t="inlineStr">
        <is>
          <t>Supervisar superficies comerciales y contenido SEO</t>
        </is>
      </c>
      <c r="F96" s="8" t="inlineStr">
        <is>
          <t>UI</t>
        </is>
      </c>
      <c r="G96" s="8" t="inlineStr">
        <is>
          <t>Contenido del sitio cargado</t>
        </is>
      </c>
      <c r="H96" s="8" t="inlineStr">
        <is>
          <t>Abrir CMS y páginas comerciales</t>
        </is>
      </c>
      <c r="I96" s="8" t="inlineStr">
        <is>
          <t>La UI permite editar contenido y mantener el lenguaje SEO</t>
        </is>
      </c>
      <c r="J96" s="10" t="str"/>
      <c r="K96" s="8" t="str"/>
      <c r="L96" s="8" t="str"/>
      <c r="M96" s="8" t="inlineStr">
        <is>
          <t>ecommerce/e2e/admin-commercial-surfaces.spec.ts</t>
        </is>
      </c>
      <c r="N96" s="8" t="inlineStr">
        <is>
          <t>2026-04-27</t>
        </is>
      </c>
      <c r="O96" s="8" t="inlineStr">
        <is>
          <t>Mantener</t>
        </is>
      </c>
    </row>
    <row r="97" ht="52.79999923706055" customHeight="1">
      <c r="A97" s="8" t="inlineStr">
        <is>
          <t>Admin</t>
        </is>
      </c>
      <c r="B97" s="8" t="inlineStr">
        <is>
          <t>ADMIN-COM-002</t>
        </is>
      </c>
      <c r="C97" s="8" t="inlineStr">
        <is>
          <t>Arquitectura/UI/API</t>
        </is>
      </c>
      <c r="D97" s="8" t="inlineStr">
        <is>
          <t>Comercial</t>
        </is>
      </c>
      <c r="E97" s="8" t="inlineStr">
        <is>
          <t>Gestionar superficies de mensajes/comercio mezcladas sin romper ownership</t>
        </is>
      </c>
      <c r="F97" s="8" t="inlineStr">
        <is>
          <t>Arquitectura/UI/API</t>
        </is>
      </c>
      <c r="G97" s="8" t="inlineStr">
        <is>
          <t>Chat platform y ecommerce integrados</t>
        </is>
      </c>
      <c r="H97" s="8" t="inlineStr">
        <is>
          <t>Abrir áreas compartidas</t>
        </is>
      </c>
      <c r="I97" s="8" t="inlineStr">
        <is>
          <t>La UI usa contratos y no mezcla ownership de mensajería con commerce core</t>
        </is>
      </c>
      <c r="J97" s="10" t="str"/>
      <c r="K97" s="8" t="str"/>
      <c r="L97" s="8" t="str"/>
      <c r="M97" s="8" t="inlineStr">
        <is>
          <t>ecommerce/e2e/channel-control-contract.spec.ts; ecommerce/e2e/admin-commercial-surfaces.spec.ts</t>
        </is>
      </c>
      <c r="N97" s="8" t="inlineStr">
        <is>
          <t>2026-04-27</t>
        </is>
      </c>
      <c r="O97" s="8" t="inlineStr">
        <is>
          <t>Mantener</t>
        </is>
      </c>
    </row>
    <row r="98" ht="39.59999847412109" customHeight="1">
      <c r="A98" s="8" t="inlineStr">
        <is>
          <t>Cross-project</t>
        </is>
      </c>
      <c r="B98" s="8" t="inlineStr">
        <is>
          <t>CROSS-001</t>
        </is>
      </c>
      <c r="C98" s="8" t="inlineStr">
        <is>
          <t>E2E</t>
        </is>
      </c>
      <c r="D98" s="8" t="inlineStr">
        <is>
          <t>Checkout -&gt; Notifications</t>
        </is>
      </c>
      <c r="E98" s="8" t="inlineStr">
        <is>
          <t>Orden confirmada dispara notificación customer</t>
        </is>
      </c>
      <c r="F98" s="8" t="inlineStr">
        <is>
          <t>E2E</t>
        </is>
      </c>
      <c r="G98" s="8" t="inlineStr">
        <is>
          <t>Pedido emitido y canal de notificación activo</t>
        </is>
      </c>
      <c r="H98" s="8" t="inlineStr">
        <is>
          <t>Crear orden de storefront</t>
        </is>
      </c>
      <c r="I98" s="8" t="inlineStr">
        <is>
          <t>La notificación aparece en account/profile y permite navegar al pedido</t>
        </is>
      </c>
      <c r="J98" s="10" t="str"/>
      <c r="K98" s="8" t="str"/>
      <c r="L98" s="8" t="str"/>
      <c r="M98" s="8" t="inlineStr">
        <is>
          <t>ecommerce/e2e/account-notifications-order-detail.spec.ts</t>
        </is>
      </c>
      <c r="N98" s="8" t="inlineStr">
        <is>
          <t>2026-04-27</t>
        </is>
      </c>
      <c r="O98" s="8" t="inlineStr">
        <is>
          <t>Mantener</t>
        </is>
      </c>
    </row>
    <row r="99" ht="52.79999923706055" customHeight="1">
      <c r="A99" s="8" t="inlineStr">
        <is>
          <t>Cross-project</t>
        </is>
      </c>
      <c r="B99" s="8" t="inlineStr">
        <is>
          <t>CROSS-002</t>
        </is>
      </c>
      <c r="C99" s="8" t="inlineStr">
        <is>
          <t>E2E</t>
        </is>
      </c>
      <c r="D99" s="8" t="inlineStr">
        <is>
          <t>Storefront -&gt; Admin</t>
        </is>
      </c>
      <c r="E99" s="8" t="inlineStr">
        <is>
          <t>Conversaciones del storefront llegan al admin</t>
        </is>
      </c>
      <c r="F99" s="8" t="inlineStr">
        <is>
          <t>E2E</t>
        </is>
      </c>
      <c r="G99" s="8" t="inlineStr">
        <is>
          <t>Webchat activo y admin autenticado</t>
        </is>
      </c>
      <c r="H99" s="8" t="inlineStr">
        <is>
          <t>Generar conversación pública</t>
        </is>
      </c>
      <c r="I99" s="8" t="inlineStr">
        <is>
          <t>El inbox admin muestra la conversación del hub canónico</t>
        </is>
      </c>
      <c r="J99" s="10" t="str"/>
      <c r="K99" s="8" t="str"/>
      <c r="L99" s="8" t="str"/>
      <c r="M99" s="8" t="inlineStr">
        <is>
          <t>ecommerce/e2e/admin-order-detail-cross-project.spec.ts; frontend/src/services/ConversationsService.ts</t>
        </is>
      </c>
      <c r="N99" s="8" t="inlineStr">
        <is>
          <t>2026-04-27</t>
        </is>
      </c>
      <c r="O99" s="8" t="inlineStr">
        <is>
          <t>Mantener</t>
        </is>
      </c>
    </row>
    <row r="100" ht="66" customHeight="1">
      <c r="A100" s="8" t="inlineStr">
        <is>
          <t>Cross-project</t>
        </is>
      </c>
      <c r="B100" s="8" t="inlineStr">
        <is>
          <t>CROSS-003</t>
        </is>
      </c>
      <c r="C100" s="8" t="inlineStr">
        <is>
          <t>API/UI</t>
        </is>
      </c>
      <c r="D100" s="8" t="inlineStr">
        <is>
          <t>Ecommerce -&gt; Chat</t>
        </is>
      </c>
      <c r="E100" s="8" t="inlineStr">
        <is>
          <t>Editar config del chat desde ecommerce mediante contrato</t>
        </is>
      </c>
      <c r="F100" s="8" t="inlineStr">
        <is>
          <t>API/UI</t>
        </is>
      </c>
      <c r="G100" s="8" t="inlineStr">
        <is>
          <t>ChannelControl expuesto</t>
        </is>
      </c>
      <c r="H100" s="8" t="inlineStr">
        <is>
          <t>Guardar settings de canales desde la UI correspondiente</t>
        </is>
      </c>
      <c r="I100" s="8" t="inlineStr">
        <is>
          <t>La edición viaja a ai-platform y el estado vuelve consistente</t>
        </is>
      </c>
      <c r="J100" s="10" t="str"/>
      <c r="K100" s="8" t="str"/>
      <c r="L100" s="8" t="str"/>
      <c r="M100" s="8" t="inlineStr">
        <is>
          <t>ecommerce/e2e/channel-control-contract.spec.ts; ai-platform/backend/src/modules/channel-control/channel-settings.service.ts</t>
        </is>
      </c>
      <c r="N100" s="8" t="inlineStr">
        <is>
          <t>2026-04-27</t>
        </is>
      </c>
      <c r="O100" s="8" t="inlineStr">
        <is>
          <t>Mantener</t>
        </is>
      </c>
    </row>
    <row r="101" ht="39.59999847412109" customHeight="1">
      <c r="A101" s="8" t="inlineStr">
        <is>
          <t>Cross-project</t>
        </is>
      </c>
      <c r="B101" s="8" t="inlineStr">
        <is>
          <t>CROSS-004</t>
        </is>
      </c>
      <c r="C101" s="8" t="inlineStr">
        <is>
          <t>E2E</t>
        </is>
      </c>
      <c r="D101" s="8" t="inlineStr">
        <is>
          <t>Ecommerce Embedded Chat</t>
        </is>
      </c>
      <c r="E101" s="8" t="inlineStr">
        <is>
          <t>El chat embebido del storefront usa ai-platform</t>
        </is>
      </c>
      <c r="F101" s="8" t="inlineStr">
        <is>
          <t>E2E</t>
        </is>
      </c>
      <c r="G101" s="8" t="inlineStr">
        <is>
          <t>Chat platform levantado</t>
        </is>
      </c>
      <c r="H101" s="8" t="inlineStr">
        <is>
          <t>Abrir storefront y disparar webchat</t>
        </is>
      </c>
      <c r="I101" s="8" t="inlineStr">
        <is>
          <t>El widget se conecta al runtime de chat platform y persiste el transcript</t>
        </is>
      </c>
      <c r="J101" s="10" t="str"/>
      <c r="K101" s="8" t="str"/>
      <c r="L101" s="8" t="str"/>
      <c r="M101" s="8" t="inlineStr">
        <is>
          <t>ecommerce/e2e/storefront-webchat.spec.ts</t>
        </is>
      </c>
      <c r="N101" s="8" t="inlineStr">
        <is>
          <t>2026-04-27</t>
        </is>
      </c>
      <c r="O101" s="8" t="inlineStr">
        <is>
          <t>Mantener</t>
        </is>
      </c>
    </row>
    <row r="102" ht="26.39999961853027" customHeight="1">
      <c r="A102" s="8" t="inlineStr">
        <is>
          <t>Cross-project</t>
        </is>
      </c>
      <c r="B102" s="8" t="inlineStr">
        <is>
          <t>CROSS-005</t>
        </is>
      </c>
      <c r="C102" s="8" t="inlineStr">
        <is>
          <t>E2E</t>
        </is>
      </c>
      <c r="D102" s="8" t="inlineStr">
        <is>
          <t>Órdenes</t>
        </is>
      </c>
      <c r="E102" s="8" t="inlineStr">
        <is>
          <t>Detalle admin usa UUID público del storefront</t>
        </is>
      </c>
      <c r="F102" s="8" t="inlineStr">
        <is>
          <t>E2E</t>
        </is>
      </c>
      <c r="G102" s="8" t="inlineStr">
        <is>
          <t>Pedido creado en storefront</t>
        </is>
      </c>
      <c r="H102" s="8" t="inlineStr">
        <is>
          <t>Abrir detalle en admin</t>
        </is>
      </c>
      <c r="I102" s="8" t="inlineStr">
        <is>
          <t>El detalle coincide con el UUID y muestra datos estructurados</t>
        </is>
      </c>
      <c r="J102" s="10" t="str"/>
      <c r="K102" s="8" t="str"/>
      <c r="L102" s="8" t="str"/>
      <c r="M102" s="8" t="inlineStr">
        <is>
          <t>ecommerce/e2e/admin-order-detail-cross-project.spec.ts</t>
        </is>
      </c>
      <c r="N102" s="8" t="inlineStr">
        <is>
          <t>2026-04-27</t>
        </is>
      </c>
      <c r="O102" s="8" t="inlineStr">
        <is>
          <t>Mantener</t>
        </is>
      </c>
    </row>
    <row r="103" ht="26.39999961853027" customHeight="1">
      <c r="A103" s="8" t="inlineStr">
        <is>
          <t>Cross-project</t>
        </is>
      </c>
      <c r="B103" s="8" t="inlineStr">
        <is>
          <t>CROSS-006</t>
        </is>
      </c>
      <c r="C103" s="8" t="inlineStr">
        <is>
          <t>E2E</t>
        </is>
      </c>
      <c r="D103" s="8" t="inlineStr">
        <is>
          <t>Cuenta</t>
        </is>
      </c>
      <c r="E103" s="8" t="inlineStr">
        <is>
          <t>Notificación customer abre detalle de orden</t>
        </is>
      </c>
      <c r="F103" s="8" t="inlineStr">
        <is>
          <t>E2E</t>
        </is>
      </c>
      <c r="G103" s="8" t="inlineStr">
        <is>
          <t>Usuario con notificación de orden</t>
        </is>
      </c>
      <c r="H103" s="8" t="inlineStr">
        <is>
          <t>Click en notificación</t>
        </is>
      </c>
      <c r="I103" s="8" t="inlineStr">
        <is>
          <t>El router lleva al detalle correcto sin perder contexto</t>
        </is>
      </c>
      <c r="J103" s="10" t="str"/>
      <c r="K103" s="8" t="str"/>
      <c r="L103" s="8" t="str"/>
      <c r="M103" s="8" t="inlineStr">
        <is>
          <t>ecommerce/e2e/account-notifications-order-detail.spec.ts</t>
        </is>
      </c>
      <c r="N103" s="8" t="inlineStr">
        <is>
          <t>2026-04-27</t>
        </is>
      </c>
      <c r="O103" s="8" t="inlineStr">
        <is>
          <t>Mantener</t>
        </is>
      </c>
    </row>
    <row r="104" ht="39.59999847412109" customHeight="1">
      <c r="A104" s="8" t="inlineStr">
        <is>
          <t>Cross-project</t>
        </is>
      </c>
      <c r="B104" s="8" t="inlineStr">
        <is>
          <t>CROSS-007</t>
        </is>
      </c>
      <c r="C104" s="8" t="inlineStr">
        <is>
          <t>API/UI</t>
        </is>
      </c>
      <c r="D104" s="8" t="inlineStr">
        <is>
          <t>Integraciones</t>
        </is>
      </c>
      <c r="E104" s="8" t="inlineStr">
        <is>
          <t>Config de email/Mercado Pago/Google se comparte por DB segura</t>
        </is>
      </c>
      <c r="F104" s="8" t="inlineStr">
        <is>
          <t>API/UI</t>
        </is>
      </c>
      <c r="G104" s="8" t="inlineStr">
        <is>
          <t>SecureConfig poblado</t>
        </is>
      </c>
      <c r="H104" s="8" t="inlineStr">
        <is>
          <t>Abrir settings en admin y storefront</t>
        </is>
      </c>
      <c r="I104" s="8" t="inlineStr">
        <is>
          <t>Ambos lados leen la misma fuente de verdad sin env duro como autoridad</t>
        </is>
      </c>
      <c r="J104" s="10" t="str"/>
      <c r="K104" s="8" t="str"/>
      <c r="L104" s="8" t="str"/>
      <c r="M104" s="8" t="inlineStr">
        <is>
          <t>docs/PROJECT_STATUS.md; frontend/src/views/settings/GoogleSettings/GoogleSettings.tsx</t>
        </is>
      </c>
      <c r="N104" s="8" t="inlineStr">
        <is>
          <t>2026-04-27</t>
        </is>
      </c>
      <c r="O104" s="8" t="inlineStr">
        <is>
          <t>Mantener</t>
        </is>
      </c>
    </row>
    <row r="105" ht="52.79999923706055" customHeight="1">
      <c r="A105" s="8" t="inlineStr">
        <is>
          <t>Cross-project</t>
        </is>
      </c>
      <c r="B105" s="8" t="inlineStr">
        <is>
          <t>CROSS-008</t>
        </is>
      </c>
      <c r="C105" s="8" t="inlineStr">
        <is>
          <t>E2E</t>
        </is>
      </c>
      <c r="D105" s="8" t="inlineStr">
        <is>
          <t>Conversaciones</t>
        </is>
      </c>
      <c r="E105" s="8" t="inlineStr">
        <is>
          <t>Visibilidad de mensajes entre storefront y admin</t>
        </is>
      </c>
      <c r="F105" s="8" t="inlineStr">
        <is>
          <t>E2E</t>
        </is>
      </c>
      <c r="G105" s="8" t="inlineStr">
        <is>
          <t>Conversación activa</t>
        </is>
      </c>
      <c r="H105" s="8" t="inlineStr">
        <is>
          <t>Abrir conversación desde admin y storefront</t>
        </is>
      </c>
      <c r="I105" s="8" t="inlineStr">
        <is>
          <t>El mismo hilo aparece consistente en ambos lados donde corresponde</t>
        </is>
      </c>
      <c r="J105" s="10" t="str"/>
      <c r="K105" s="8" t="str"/>
      <c r="L105" s="8" t="str"/>
      <c r="M105" s="8" t="inlineStr">
        <is>
          <t>frontend/src/services/ConversationsService.ts; ecommerce/e2e/admin-conversations.spec.ts</t>
        </is>
      </c>
      <c r="N105" s="8" t="inlineStr">
        <is>
          <t>2026-04-27</t>
        </is>
      </c>
      <c r="O105" s="8" t="inlineStr">
        <is>
          <t>Mantener</t>
        </is>
      </c>
    </row>
    <row r="106" ht="39.59999847412109" customHeight="1">
      <c r="A106" s="8" t="inlineStr">
        <is>
          <t>Cross-project</t>
        </is>
      </c>
      <c r="B106" s="8" t="inlineStr">
        <is>
          <t>CROSS-009</t>
        </is>
      </c>
      <c r="C106" s="8" t="inlineStr">
        <is>
          <t>Infra</t>
        </is>
      </c>
      <c r="D106" s="8" t="inlineStr">
        <is>
          <t>Red/Seguridad</t>
        </is>
      </c>
      <c r="E106" s="8" t="inlineStr">
        <is>
          <t>CORS y orígenes entre ecommerce/admin/chat platform</t>
        </is>
      </c>
      <c r="F106" s="8" t="inlineStr">
        <is>
          <t>Infra</t>
        </is>
      </c>
      <c r="G106" s="8" t="inlineStr">
        <is>
          <t>Servicios levantados</t>
        </is>
      </c>
      <c r="H106" s="8" t="inlineStr">
        <is>
          <t>Hacer request cross-origin</t>
        </is>
      </c>
      <c r="I106" s="8" t="inlineStr">
        <is>
          <t>Los orígenes permitidos responden y los no permitidos fallan</t>
        </is>
      </c>
      <c r="J106" s="10" t="str"/>
      <c r="K106" s="8" t="str"/>
      <c r="L106" s="8" t="str"/>
      <c r="M106" s="8" t="inlineStr">
        <is>
          <t>ai-platform/backend/src/main.ts</t>
        </is>
      </c>
      <c r="N106" s="8" t="inlineStr">
        <is>
          <t>2026-04-27</t>
        </is>
      </c>
      <c r="O106" s="8" t="inlineStr">
        <is>
          <t>Mantener</t>
        </is>
      </c>
    </row>
    <row r="107" ht="79.19999694824219" customHeight="1">
      <c r="A107" s="8" t="inlineStr">
        <is>
          <t>Cross-project</t>
        </is>
      </c>
      <c r="B107" s="8" t="inlineStr">
        <is>
          <t>CROSS-010</t>
        </is>
      </c>
      <c r="C107" s="8" t="inlineStr">
        <is>
          <t>UI/E2E</t>
        </is>
      </c>
      <c r="D107" s="8" t="inlineStr">
        <is>
          <t>Auth</t>
        </is>
      </c>
      <c r="E107" s="8" t="inlineStr">
        <is>
          <t>Sesiones y cookies no se rompen al cruzar apps</t>
        </is>
      </c>
      <c r="F107" s="8" t="inlineStr">
        <is>
          <t>UI/E2E</t>
        </is>
      </c>
      <c r="G107" s="8" t="inlineStr">
        <is>
          <t>Usuario autenticado en storefront o admin</t>
        </is>
      </c>
      <c r="H107" s="8" t="inlineStr">
        <is>
          <t>Navegar entre apps</t>
        </is>
      </c>
      <c r="I107" s="8" t="inlineStr">
        <is>
          <t>La sesión se conserva donde corresponde y no mezcla scopes</t>
        </is>
      </c>
      <c r="J107" s="10" t="str"/>
      <c r="K107" s="8" t="str"/>
      <c r="L107" s="8" t="str"/>
      <c r="M107" s="8" t="inlineStr">
        <is>
          <t>ecommerce/e2e/cross-app-session.spec.ts; ecommerce/src/state/session-context.tsx; frontend/src/components/header/Header.tsx</t>
        </is>
      </c>
      <c r="N107" s="8" t="inlineStr">
        <is>
          <t>2026-04-27</t>
        </is>
      </c>
      <c r="O107" s="8" t="inlineStr">
        <is>
          <t>Mantener</t>
        </is>
      </c>
    </row>
    <row r="108" ht="39.59999847412109" customHeight="1">
      <c r="A108" s="8" t="inlineStr">
        <is>
          <t>Cross-project</t>
        </is>
      </c>
      <c r="B108" s="8" t="inlineStr">
        <is>
          <t>CROSS-011</t>
        </is>
      </c>
      <c r="C108" s="8" t="inlineStr">
        <is>
          <t>Arquitectura</t>
        </is>
      </c>
      <c r="D108" s="8" t="inlineStr">
        <is>
          <t>Ownership</t>
        </is>
      </c>
      <c r="E108" s="8" t="inlineStr">
        <is>
          <t>No duplicar ownership de secretos/configs entre stacks</t>
        </is>
      </c>
      <c r="F108" s="8" t="inlineStr">
        <is>
          <t>Arquitectura</t>
        </is>
      </c>
      <c r="G108" s="8" t="inlineStr">
        <is>
          <t>SecureConfig y ChannelControl activos</t>
        </is>
      </c>
      <c r="H108" s="8" t="inlineStr">
        <is>
          <t>Modificar config sensible</t>
        </is>
      </c>
      <c r="I108" s="8" t="inlineStr">
        <is>
          <t>La verdad reside en chat platform / DB segura y el ecommerce sólo refleja o delega</t>
        </is>
      </c>
      <c r="J108" s="10" t="str"/>
      <c r="K108" s="8" t="str"/>
      <c r="L108" s="8" t="str"/>
      <c r="M108" s="8" t="inlineStr">
        <is>
          <t>docs/PRODUCTION_EXECUTION_PROMPTS.md</t>
        </is>
      </c>
      <c r="N108" s="8" t="inlineStr">
        <is>
          <t>2026-04-27</t>
        </is>
      </c>
      <c r="O108" s="8" t="inlineStr">
        <is>
          <t>Mantener</t>
        </is>
      </c>
    </row>
    <row r="109" ht="52.79999923706055" customHeight="1">
      <c r="A109" s="8" t="inlineStr">
        <is>
          <t>Cross-project</t>
        </is>
      </c>
      <c r="B109" s="8" t="inlineStr">
        <is>
          <t>CROSS-012</t>
        </is>
      </c>
      <c r="C109" s="8" t="inlineStr">
        <is>
          <t>E2E/API</t>
        </is>
      </c>
      <c r="D109" s="8" t="inlineStr">
        <is>
          <t>Operación</t>
        </is>
      </c>
      <c r="E109" s="8" t="inlineStr">
        <is>
          <t>El canal de soporte y las acciones del inbox respetan el mismo contrato</t>
        </is>
      </c>
      <c r="F109" s="8" t="inlineStr">
        <is>
          <t>E2E/API</t>
        </is>
      </c>
      <c r="G109" s="8" t="inlineStr">
        <is>
          <t>Canales activos y admin autenticado</t>
        </is>
      </c>
      <c r="H109" s="8" t="inlineStr">
        <is>
          <t>Usar inbox, acciones y cambios de estado</t>
        </is>
      </c>
      <c r="I109" s="8" t="inlineStr">
        <is>
          <t>La UI refleja el mismo contrato operable de ai-platform sin legacy paralelo</t>
        </is>
      </c>
      <c r="J109" s="10" t="str"/>
      <c r="K109" s="8" t="str"/>
      <c r="L109" s="8" t="str"/>
      <c r="M109" s="8" t="inlineStr">
        <is>
          <t>ecommerce/e2e/admin-conversations-multichannel.spec.ts; ecommerce/e2e/admin-conversations-email-reply.spec.ts</t>
        </is>
      </c>
      <c r="N109" s="8" t="inlineStr">
        <is>
          <t>2026-04-27</t>
        </is>
      </c>
      <c r="O109" s="8" t="inlineStr">
        <is>
          <t>Mantener</t>
        </is>
      </c>
    </row>
    <row r="110" ht="39.59999847412109" customHeight="1">
      <c r="A110" s="8" t="inlineStr">
        <is>
          <t>Cross-project</t>
        </is>
      </c>
      <c r="B110" s="8" t="inlineStr">
        <is>
          <t>CROSS-013</t>
        </is>
      </c>
      <c r="C110" s="8" t="inlineStr">
        <is>
          <t>UI</t>
        </is>
      </c>
      <c r="D110" s="8" t="inlineStr">
        <is>
          <t>Menú/UI</t>
        </is>
      </c>
      <c r="E110" s="8" t="inlineStr">
        <is>
          <t>Cambios de CMS y Channels se reflejan con íconos y traducción</t>
        </is>
      </c>
      <c r="F110" s="8" t="inlineStr">
        <is>
          <t>UI</t>
        </is>
      </c>
      <c r="G110" s="8" t="inlineStr">
        <is>
          <t>Navbar cargada</t>
        </is>
      </c>
      <c r="H110" s="8" t="inlineStr">
        <is>
          <t>Abrir menús laterales</t>
        </is>
      </c>
      <c r="I110" s="8" t="inlineStr">
        <is>
          <t>La navegación mantiene iconos y textos traducidos en ambos proyectos donde aplica</t>
        </is>
      </c>
      <c r="J110" s="10" t="str"/>
      <c r="K110" s="8" t="str"/>
      <c r="L110" s="8" t="str"/>
      <c r="M110" s="8" t="inlineStr">
        <is>
          <t>frontend/src/configs/navigation.config/__tests__/apps.navigation.config.spec.ts</t>
        </is>
      </c>
      <c r="N110" s="8" t="inlineStr">
        <is>
          <t>2026-04-27</t>
        </is>
      </c>
      <c r="O110" s="8" t="inlineStr">
        <is>
          <t>Mantener</t>
        </is>
      </c>
    </row>
    <row r="111" ht="39.59999847412109" customHeight="1">
      <c r="A111" s="8" t="inlineStr">
        <is>
          <t>Cross-project</t>
        </is>
      </c>
      <c r="B111" s="8" t="inlineStr">
        <is>
          <t>CROSS-014</t>
        </is>
      </c>
      <c r="C111" s="8" t="inlineStr">
        <is>
          <t>Arquitectura/UI</t>
        </is>
      </c>
      <c r="D111" s="8" t="inlineStr">
        <is>
          <t>Chat/Ecommerce</t>
        </is>
      </c>
      <c r="E111" s="8" t="inlineStr">
        <is>
          <t>Ecommerce expone chat embebido pero no owns runtime</t>
        </is>
      </c>
      <c r="F111" s="8" t="inlineStr">
        <is>
          <t>Arquitectura/UI</t>
        </is>
      </c>
      <c r="G111" s="8" t="inlineStr">
        <is>
          <t>Chat platform levantado</t>
        </is>
      </c>
      <c r="H111" s="8" t="inlineStr">
        <is>
          <t>Abrir storefront con widget</t>
        </is>
      </c>
      <c r="I111" s="8" t="inlineStr">
        <is>
          <t>El widget usa ai-platform, mientras ecommerce sólo ofrece superficie de uso</t>
        </is>
      </c>
      <c r="J111" s="10" t="str"/>
      <c r="K111" s="8" t="str"/>
      <c r="L111" s="8" t="str"/>
      <c r="M111" s="8" t="inlineStr">
        <is>
          <t>ecommerce/e2e/storefront-webchat.spec.ts</t>
        </is>
      </c>
      <c r="N111" s="8" t="inlineStr">
        <is>
          <t>2026-04-27</t>
        </is>
      </c>
      <c r="O111" s="8" t="inlineStr">
        <is>
          <t>Mantener</t>
        </is>
      </c>
    </row>
    <row r="112" ht="52.79999923706055" customHeight="1">
      <c r="A112" s="8" t="inlineStr">
        <is>
          <t>Cross-project</t>
        </is>
      </c>
      <c r="B112" s="8" t="inlineStr">
        <is>
          <t>CROSS-015</t>
        </is>
      </c>
      <c r="C112" s="8" t="inlineStr">
        <is>
          <t>E2E</t>
        </is>
      </c>
      <c r="D112" s="8" t="inlineStr">
        <is>
          <t>Operación</t>
        </is>
      </c>
      <c r="E112" s="8" t="inlineStr">
        <is>
          <t>Notificación de cuenta y pedido cruzan a admin sin perder UUID</t>
        </is>
      </c>
      <c r="F112" s="8" t="inlineStr">
        <is>
          <t>E2E</t>
        </is>
      </c>
      <c r="G112" s="8" t="inlineStr">
        <is>
          <t>Pedido y notificación creados</t>
        </is>
      </c>
      <c r="H112" s="8" t="inlineStr">
        <is>
          <t>Abrir notificación y detalle admin</t>
        </is>
      </c>
      <c r="I112" s="8" t="inlineStr">
        <is>
          <t>El UUID público sirve como vínculo único entre apps</t>
        </is>
      </c>
      <c r="J112" s="10" t="str"/>
      <c r="K112" s="8" t="str"/>
      <c r="L112" s="8" t="str"/>
      <c r="M112" s="8" t="inlineStr">
        <is>
          <t>ecommerce/e2e/account-notifications-order-detail.spec.ts; ecommerce/e2e/admin-order-detail-cross-project.spec.ts</t>
        </is>
      </c>
      <c r="N112" s="8" t="inlineStr">
        <is>
          <t>2026-04-27</t>
        </is>
      </c>
      <c r="O112" s="8" t="inlineStr">
        <is>
          <t>Mantener</t>
        </is>
      </c>
    </row>
    <row r="113" ht="79.19999694824219" customHeight="1">
      <c r="A113" s="8" t="inlineStr">
        <is>
          <t>Cross-project</t>
        </is>
      </c>
      <c r="B113" s="8" t="inlineStr">
        <is>
          <t>CROSS-016</t>
        </is>
      </c>
      <c r="C113" s="8" t="inlineStr">
        <is>
          <t>E2E</t>
        </is>
      </c>
      <c r="D113" s="8" t="inlineStr">
        <is>
          <t>Operación</t>
        </is>
      </c>
      <c r="E113" s="8" t="inlineStr">
        <is>
          <t>Un checkout confirmado genera notificación para customer y para admin</t>
        </is>
      </c>
      <c r="F113" s="8" t="inlineStr">
        <is>
          <t>E2E</t>
        </is>
      </c>
      <c r="G113" s="8" t="inlineStr">
        <is>
          <t>Pedido emitido con canal de notificación activo</t>
        </is>
      </c>
      <c r="H113" s="8" t="inlineStr">
        <is>
          <t>Completar compra</t>
        </is>
      </c>
      <c r="I113" s="8" t="inlineStr">
        <is>
          <t>El customer ve la notificación y el admin ve la superficie operativa asociada</t>
        </is>
      </c>
      <c r="J113" s="10" t="str"/>
      <c r="K113" s="8" t="str"/>
      <c r="L113" s="8" t="str"/>
      <c r="M113" s="8" t="inlineStr">
        <is>
          <t>ecommerce/e2e/account-notifications-order-detail.spec.ts; ecommerce/e2e/admin-conversations-multichannel.spec.ts; ecommerce/e2e/mercadopago-success.spec.ts</t>
        </is>
      </c>
      <c r="N113" s="8" t="inlineStr">
        <is>
          <t>2026-04-27</t>
        </is>
      </c>
      <c r="O113" s="8" t="inlineStr">
        <is>
          <t>Mantener</t>
        </is>
      </c>
    </row>
    <row r="114" ht="66" customHeight="1">
      <c r="A114" s="8" t="inlineStr">
        <is>
          <t>Cross-project</t>
        </is>
      </c>
      <c r="B114" s="8" t="inlineStr">
        <is>
          <t>CROSS-017</t>
        </is>
      </c>
      <c r="C114" s="8" t="inlineStr">
        <is>
          <t>Arquitectura/UI</t>
        </is>
      </c>
      <c r="D114" s="8" t="inlineStr">
        <is>
          <t>Integraciones</t>
        </is>
      </c>
      <c r="E114" s="8" t="inlineStr">
        <is>
          <t>La validación de tipos inválidos falla igual en ecommerce y chat platform</t>
        </is>
      </c>
      <c r="F114" s="8" t="inlineStr">
        <is>
          <t>Arquitectura/UI</t>
        </is>
      </c>
      <c r="G114" s="8" t="inlineStr">
        <is>
          <t>Formularios visibles</t>
        </is>
      </c>
      <c r="H114" s="8" t="inlineStr">
        <is>
          <t>Ingresar letras donde esperan números o datos rotos</t>
        </is>
      </c>
      <c r="I114" s="8" t="inlineStr">
        <is>
          <t>Ambos stacks rechazan los payloads inválidos de forma explícita</t>
        </is>
      </c>
      <c r="J114" s="10" t="str"/>
      <c r="K114" s="8" t="str"/>
      <c r="L114" s="8" t="str"/>
      <c r="M114" s="8" t="inlineStr">
        <is>
          <t>ecommerce/e2e/form-validation-negative.spec.ts; ai-platform/backend/src/modules/api/__tests__/dto-validation.spec.ts</t>
        </is>
      </c>
      <c r="N114" s="8" t="inlineStr">
        <is>
          <t>2026-04-27</t>
        </is>
      </c>
      <c r="O114" s="8" t="inlineStr">
        <is>
          <t>Mantener</t>
        </is>
      </c>
    </row>
    <row r="115" ht="66" customHeight="1">
      <c r="A115" s="8" t="inlineStr">
        <is>
          <t>Cross-project</t>
        </is>
      </c>
      <c r="B115" s="8" t="inlineStr">
        <is>
          <t>CROSS-018</t>
        </is>
      </c>
      <c r="C115" s="8" t="inlineStr">
        <is>
          <t>Arquitectura/UI</t>
        </is>
      </c>
      <c r="D115" s="8" t="inlineStr">
        <is>
          <t>Validación</t>
        </is>
      </c>
      <c r="E115" s="8" t="inlineStr">
        <is>
          <t>Checkout, auth y canal settings rechazan valores estructuralmente inválidos</t>
        </is>
      </c>
      <c r="F115" s="8" t="inlineStr">
        <is>
          <t>Arquitectura/UI</t>
        </is>
      </c>
      <c r="G115" s="8" t="inlineStr">
        <is>
          <t>Formularios visibles en ambos stacks</t>
        </is>
      </c>
      <c r="H115" s="8" t="inlineStr">
        <is>
          <t>Probar datos vacíos, letras en números y emails malformados</t>
        </is>
      </c>
      <c r="I115" s="8" t="inlineStr">
        <is>
          <t>La validación corta el flujo y muestra el error adecuado en cada superficie</t>
        </is>
      </c>
      <c r="J115" s="10" t="str"/>
      <c r="K115" s="8" t="str"/>
      <c r="L115" s="8" t="str"/>
      <c r="M115" s="8" t="inlineStr">
        <is>
          <t>ecommerce/e2e/form-validation-negative.spec.ts; ai-platform/backend/src/modules/api/__tests__/dto-validation.spec.ts</t>
        </is>
      </c>
      <c r="N115" s="8" t="inlineStr">
        <is>
          <t>2026-04-27</t>
        </is>
      </c>
      <c r="O115" s="8" t="inlineStr">
        <is>
          <t>Mantener</t>
        </is>
      </c>
    </row>
    <row r="116" ht="66" customHeight="1">
      <c r="A116" s="8" t="inlineStr">
        <is>
          <t>Cross-project</t>
        </is>
      </c>
      <c r="B116" s="8" t="inlineStr">
        <is>
          <t>CROSS-019</t>
        </is>
      </c>
      <c r="C116" s="8" t="inlineStr">
        <is>
          <t>Arquitectura/UI</t>
        </is>
      </c>
      <c r="D116" s="8" t="inlineStr">
        <is>
          <t>Email</t>
        </is>
      </c>
      <c r="E116" s="8" t="inlineStr">
        <is>
          <t>La configuración de inbox/email proviene de DB segura y no de env directo</t>
        </is>
      </c>
      <c r="F116" s="8" t="inlineStr">
        <is>
          <t>Arquitectura/UI</t>
        </is>
      </c>
      <c r="G116" s="8" t="inlineStr">
        <is>
          <t>SecureConfig poblado</t>
        </is>
      </c>
      <c r="H116" s="8" t="inlineStr">
        <is>
          <t>Abrir settings/email y channel inbox views</t>
        </is>
      </c>
      <c r="I116" s="8" t="inlineStr">
        <is>
          <t>Ambos lados leen la misma fuente de verdad y muestran el estado real</t>
        </is>
      </c>
      <c r="J116" s="10" t="str"/>
      <c r="K116" s="8" t="str"/>
      <c r="L116" s="8" t="str"/>
      <c r="M116" s="8" t="inlineStr">
        <is>
          <t>backend/src/email/email-admin.controller.ts; ai-platform/backend/src/modules/channel-control/channel-settings.service.ts</t>
        </is>
      </c>
      <c r="N116" s="8" t="inlineStr">
        <is>
          <t>2026-04-27</t>
        </is>
      </c>
      <c r="O116" s="8" t="inlineStr">
        <is>
          <t>Mantener</t>
        </is>
      </c>
    </row>
  </sheetData>
  <dataValidations count="2">
    <dataValidation sqref="J2:J116" showDropDown="1" showInputMessage="0" showErrorMessage="0" allowBlank="1" errorTitle="Estado invalido" error="Usa uno de los valores estandar de la lista." promptTitle="Estado" prompt="Selecciona un estado estandar." type="list">
      <formula1>"Pendiente,OK,Requiere ajuste,Bloqueado"</formula1>
    </dataValidation>
    <dataValidation sqref="K2:K116" showDropDown="1" showInputMessage="0" showErrorMessage="0" allowBlank="1" errorTitle="Resultado invalido" error="Usa uno de los valores estandar de la lista." promptTitle="Resultado real" prompt="Selecciona el resultado real estandar." type="list">
      <formula1>"OK,Requiere ajuste,Bloqueado,No ejecutado"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1.46999931335449" customWidth="1" min="1" max="1"/>
    <col width="50.91999816894531" customWidth="1" min="2" max="2"/>
  </cols>
  <sheetData>
    <row r="1">
      <c r="A1" s="22" t="inlineStr">
        <is>
          <t>Estado</t>
        </is>
      </c>
      <c r="B1" s="22" t="inlineStr">
        <is>
          <t>Uso</t>
        </is>
      </c>
    </row>
    <row r="2">
      <c r="A2" s="16" t="inlineStr">
        <is>
          <t>OK</t>
        </is>
      </c>
      <c r="B2" s="16" t="inlineStr">
        <is>
          <t>Validado y sin desvio funcional</t>
        </is>
      </c>
    </row>
    <row r="3">
      <c r="A3" s="16" t="inlineStr">
        <is>
          <t>Requiere ajuste</t>
        </is>
      </c>
      <c r="B3" s="16" t="inlineStr">
        <is>
          <t>Funciona con diferencia o correccion pendiente</t>
        </is>
      </c>
    </row>
    <row r="4">
      <c r="A4" s="16" t="inlineStr">
        <is>
          <t>Bloqueado</t>
        </is>
      </c>
      <c r="B4" s="16" t="inlineStr">
        <is>
          <t>No se pudo ejecutar por dependencia o error tecnico</t>
        </is>
      </c>
    </row>
    <row r="5">
      <c r="A5" s="16" t="inlineStr">
        <is>
          <t>Pendiente</t>
        </is>
      </c>
      <c r="B5" s="16" t="inlineStr">
        <is>
          <t>Aun no probado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2026-04-29T23:12:50Z</dcterms:created>
  <dcterms:modified xmlns:dcterms="http://purl.org/dc/terms/" xmlns:xsi="http://www.w3.org/2001/XMLSchema-instance" xsi:type="dcterms:W3CDTF">2026-04-29T23:13:12Z</dcterms:modified>
</cp:coreProperties>
</file>